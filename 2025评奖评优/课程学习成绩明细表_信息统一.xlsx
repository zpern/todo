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174" tabRatio="600" firstSheet="0" activeTab="0" autoFilterDateGrouping="1"/>
  </bookViews>
  <sheets>
    <sheet xmlns:r="http://schemas.openxmlformats.org/officeDocument/2006/relationships" name="课程成绩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rlito"/>
      <charset val="134"/>
      <sz val="11"/>
    </font>
    <font>
      <name val="Arial"/>
      <charset val="134"/>
      <b val="1"/>
      <color rgb="FF1F1F1F"/>
      <sz val="14"/>
    </font>
    <font>
      <name val="宋体"/>
      <charset val="134"/>
      <sz val="11"/>
    </font>
    <font>
      <name val="Arial"/>
      <charset val="134"/>
      <b val="1"/>
      <i val="1"/>
      <color theme="1"/>
      <sz val="9"/>
    </font>
    <font>
      <name val="微软雅黑"/>
      <charset val="134"/>
      <i val="1"/>
      <color theme="1"/>
      <sz val="9"/>
    </font>
    <font>
      <name val="Arial"/>
      <charset val="134"/>
      <i val="1"/>
      <color theme="1"/>
      <sz val="9"/>
    </font>
    <font>
      <name val="Arial"/>
      <charset val="134"/>
      <b val="1"/>
      <color theme="1"/>
      <sz val="10"/>
    </font>
    <font>
      <name val="Microsoft YaHei"/>
      <charset val="134"/>
      <b val="1"/>
      <color theme="1"/>
      <sz val="10"/>
    </font>
    <font>
      <name val="Carlito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charset val="134"/>
      <b val="1"/>
      <color rgb="FF1F1F1F"/>
      <sz val="14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2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3" borderId="5" applyAlignment="1">
      <alignment vertical="center"/>
    </xf>
    <xf numFmtId="0" fontId="19" fillId="4" borderId="6" applyAlignment="1">
      <alignment vertical="center"/>
    </xf>
    <xf numFmtId="0" fontId="20" fillId="4" borderId="5" applyAlignment="1">
      <alignment vertical="center"/>
    </xf>
    <xf numFmtId="0" fontId="21" fillId="5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1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2" fontId="0" fillId="0" borderId="0" pivotButton="0" quotePrefix="0" xfId="0"/>
    <xf numFmtId="0" fontId="6" fillId="0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1" applyAlignment="1" pivotButton="0" quotePrefix="1" xfId="0">
      <alignment vertical="center"/>
    </xf>
    <xf numFmtId="0" fontId="0" fillId="0" borderId="12" pivotButton="0" quotePrefix="0" xfId="0"/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tabSelected="1" workbookViewId="0">
      <pane ySplit="8" topLeftCell="A21" activePane="bottomLeft" state="frozen"/>
      <selection activeCell="A1" sqref="A1"/>
      <selection pane="bottomLeft" activeCell="H28" sqref="H28"/>
    </sheetView>
  </sheetViews>
  <sheetFormatPr baseColWidth="8" defaultColWidth="8.83333333333333" defaultRowHeight="14.1"/>
  <cols>
    <col width="10" customWidth="1" min="1" max="1"/>
    <col width="16" customWidth="1" min="2" max="2"/>
    <col width="26" customWidth="1" min="3" max="3"/>
    <col width="17" customWidth="1" min="4" max="4"/>
    <col width="23.7166666666667" customWidth="1" min="5" max="5"/>
    <col width="14" customWidth="1" min="6" max="7"/>
  </cols>
  <sheetData>
    <row r="1" ht="28" customHeight="1">
      <c r="A1" s="1" t="inlineStr">
        <is>
          <t>2025-2026学年航空航天学院低年级研究生课程学习成绩明细表</t>
        </is>
      </c>
    </row>
    <row r="3" ht="22" customHeight="1">
      <c r="A3" s="2" t="inlineStr">
        <is>
          <t>姓名</t>
        </is>
      </c>
      <c r="B3" s="3" t="inlineStr">
        <is>
          <t>张瑞鹏</t>
        </is>
      </c>
      <c r="C3" s="2" t="inlineStr">
        <is>
          <t>学号</t>
        </is>
      </c>
      <c r="D3" s="2" t="n">
        <v>12524091</v>
      </c>
      <c r="E3" s="2" t="inlineStr">
        <is>
          <t>班级</t>
        </is>
      </c>
      <c r="F3" s="3" t="inlineStr">
        <is>
          <t>空天所</t>
        </is>
      </c>
      <c r="G3" s="2" t="n"/>
    </row>
    <row r="4" ht="22" customHeight="1">
      <c r="A4" s="2" t="inlineStr">
        <is>
          <t>专业</t>
        </is>
      </c>
      <c r="B4" s="3" t="inlineStr">
        <is>
          <t>航空宇航科学与技术</t>
        </is>
      </c>
      <c r="C4" s="2" t="inlineStr">
        <is>
          <t>导师</t>
        </is>
      </c>
      <c r="D4" s="3" t="inlineStr">
        <is>
          <t>陈建军</t>
        </is>
      </c>
      <c r="E4" s="2" t="inlineStr">
        <is>
          <t>填表日期</t>
        </is>
      </c>
      <c r="F4" s="4" t="n">
        <v>46167</v>
      </c>
      <c r="G4" s="2" t="n"/>
    </row>
    <row r="6" ht="50" customHeight="1">
      <c r="A6" s="5" t="inlineStr">
        <is>
          <t>填写说明</t>
        </is>
      </c>
      <c r="B6" s="6" t="inlineStr">
        <is>
          <t>仅低年级研究生填写；黄色单元格为学生填写项。课程类别请从下拉选项中选择。课程名称、课程代码、学分和成绩应据实填写，加权平均成绩自动计算，并填入个人计分表相应栏。</t>
        </is>
      </c>
      <c r="C6" s="17" t="n"/>
      <c r="D6" s="17" t="n"/>
      <c r="E6" s="17" t="n"/>
      <c r="F6" s="17" t="n"/>
      <c r="G6" s="18" t="n"/>
    </row>
    <row r="8" ht="28" customHeight="1">
      <c r="A8" s="8" t="inlineStr">
        <is>
          <t>序号</t>
        </is>
      </c>
      <c r="B8" s="8" t="inlineStr">
        <is>
          <t>课程代码</t>
        </is>
      </c>
      <c r="C8" s="8" t="inlineStr">
        <is>
          <t>课程名称</t>
        </is>
      </c>
      <c r="D8" s="8" t="inlineStr">
        <is>
          <t>课程类别</t>
        </is>
      </c>
      <c r="E8" s="8" t="inlineStr">
        <is>
          <t>学分</t>
        </is>
      </c>
      <c r="F8" s="8" t="inlineStr">
        <is>
          <t>成绩</t>
        </is>
      </c>
      <c r="G8" s="8" t="inlineStr">
        <is>
          <t>成绩×学分</t>
        </is>
      </c>
    </row>
    <row r="9" ht="21" customHeight="1">
      <c r="A9" s="9" t="n">
        <v>1</v>
      </c>
      <c r="B9" s="2" t="n">
        <v>4409002</v>
      </c>
      <c r="C9" s="3" t="inlineStr">
        <is>
          <t>道教文化专题</t>
        </is>
      </c>
      <c r="D9" s="2" t="inlineStr">
        <is>
          <t>公共选修课</t>
        </is>
      </c>
      <c r="E9" s="10" t="n">
        <v>1</v>
      </c>
      <c r="F9" s="10" t="n">
        <v>79</v>
      </c>
      <c r="G9" s="10">
        <f>IF(OR(E9="",F9=""),"",E9*F9)</f>
        <v/>
      </c>
    </row>
    <row r="10" ht="21" customHeight="1">
      <c r="A10" s="9" t="n">
        <v>2</v>
      </c>
      <c r="B10" s="16" t="inlineStr">
        <is>
          <t>0420002</t>
        </is>
      </c>
      <c r="C10" s="3" t="inlineStr">
        <is>
          <t>自然辩证法概论</t>
        </is>
      </c>
      <c r="D10" s="2" t="inlineStr">
        <is>
          <t>公共学位课</t>
        </is>
      </c>
      <c r="E10" s="10" t="n">
        <v>1</v>
      </c>
      <c r="F10" s="10" t="n">
        <v>90</v>
      </c>
      <c r="G10" s="10">
        <f>IF(OR(E10="",F10=""),"",E10*F10)</f>
        <v/>
      </c>
    </row>
    <row r="11" ht="21" customHeight="1">
      <c r="A11" s="9" t="n">
        <v>3</v>
      </c>
      <c r="B11" s="2" t="n">
        <v>3310001</v>
      </c>
      <c r="C11" s="3" t="inlineStr">
        <is>
          <t>中国马克思主义与当代</t>
        </is>
      </c>
      <c r="D11" s="2" t="inlineStr">
        <is>
          <t>公共学位课</t>
        </is>
      </c>
      <c r="E11" s="10" t="n">
        <v>2</v>
      </c>
      <c r="F11" s="10" t="n">
        <v>90</v>
      </c>
      <c r="G11" s="10">
        <f>IF(OR(E11="",F11=""),"",E11*F11)</f>
        <v/>
      </c>
    </row>
    <row r="12" ht="21" customHeight="1">
      <c r="A12" s="9" t="n">
        <v>4</v>
      </c>
      <c r="B12" s="2" t="n">
        <v>3320002</v>
      </c>
      <c r="C12" s="3" t="inlineStr">
        <is>
          <t>新时代中国特色社会主义理论与实践</t>
        </is>
      </c>
      <c r="D12" s="2" t="inlineStr">
        <is>
          <t>公共学位课</t>
        </is>
      </c>
      <c r="E12" s="10" t="n">
        <v>2</v>
      </c>
      <c r="F12" s="10" t="n">
        <v>90</v>
      </c>
      <c r="G12" s="10">
        <f>IF(OR(E12="",F12=""),"",E12*F12)</f>
        <v/>
      </c>
    </row>
    <row r="13" ht="21" customHeight="1">
      <c r="A13" s="9" t="n">
        <v>5</v>
      </c>
      <c r="B13" s="2" t="n">
        <v>2402001</v>
      </c>
      <c r="C13" s="3" t="inlineStr">
        <is>
          <t>研究生论文写作指导</t>
        </is>
      </c>
      <c r="D13" s="2" t="inlineStr">
        <is>
          <t>专业学位课</t>
        </is>
      </c>
      <c r="E13" s="10" t="n">
        <v>1</v>
      </c>
      <c r="F13" s="10" t="n">
        <v>92</v>
      </c>
      <c r="G13" s="10">
        <f>IF(OR(E13="",F13=""),"",E13*F13)</f>
        <v/>
      </c>
    </row>
    <row r="14" ht="21" customHeight="1">
      <c r="A14" s="9" t="n">
        <v>6</v>
      </c>
      <c r="B14" s="2" t="n">
        <v>2411008</v>
      </c>
      <c r="C14" s="3" t="inlineStr">
        <is>
          <t>航空宇航科学与技术前沿</t>
        </is>
      </c>
      <c r="D14" s="2" t="inlineStr">
        <is>
          <t>专业学位课</t>
        </is>
      </c>
      <c r="E14" s="10" t="n">
        <v>2</v>
      </c>
      <c r="F14" s="10" t="n">
        <v>84</v>
      </c>
      <c r="G14" s="10">
        <f>IF(OR(E14="",F14=""),"",E14*F14)</f>
        <v/>
      </c>
    </row>
    <row r="15" ht="21" customHeight="1">
      <c r="A15" s="9" t="n">
        <v>7</v>
      </c>
      <c r="B15" s="2" t="n">
        <v>2413012</v>
      </c>
      <c r="C15" s="3" t="inlineStr">
        <is>
          <t>科学研究与工程设计方法</t>
        </is>
      </c>
      <c r="D15" s="2" t="inlineStr">
        <is>
          <t>专业学位课</t>
        </is>
      </c>
      <c r="E15" s="10" t="n">
        <v>2</v>
      </c>
      <c r="F15" s="10" t="n">
        <v>85</v>
      </c>
      <c r="G15" s="10">
        <f>IF(OR(E15="",F15=""),"",E15*F15)</f>
        <v/>
      </c>
    </row>
    <row r="16" ht="21" customHeight="1">
      <c r="A16" s="9" t="n">
        <v>8</v>
      </c>
      <c r="B16" s="3" t="n">
        <v>2421005</v>
      </c>
      <c r="C16" s="3" t="inlineStr">
        <is>
          <t>航空航天信息系统</t>
        </is>
      </c>
      <c r="D16" s="2" t="inlineStr">
        <is>
          <t>专业学位课</t>
        </is>
      </c>
      <c r="E16" s="10" t="n">
        <v>2</v>
      </c>
      <c r="F16" s="10" t="n">
        <v>85</v>
      </c>
      <c r="G16" s="10">
        <f>IF(OR(E16="",F16=""),"",E16*F16)</f>
        <v/>
      </c>
    </row>
    <row r="17" ht="21" customHeight="1">
      <c r="A17" s="9" t="n">
        <v>9</v>
      </c>
      <c r="B17" s="2" t="n">
        <v>2423002</v>
      </c>
      <c r="C17" s="3" t="inlineStr">
        <is>
          <t>航空航天虚拟仿真</t>
        </is>
      </c>
      <c r="D17" s="2" t="inlineStr">
        <is>
          <t>专业学位课</t>
        </is>
      </c>
      <c r="E17" s="10" t="n">
        <v>2</v>
      </c>
      <c r="F17" s="10" t="n">
        <v>90</v>
      </c>
      <c r="G17" s="10">
        <f>IF(OR(E17="",F17=""),"",E17*F17)</f>
        <v/>
      </c>
    </row>
    <row r="18" ht="21" customHeight="1">
      <c r="A18" s="9" t="n">
        <v>10</v>
      </c>
      <c r="B18" s="2" t="n">
        <v>2423066</v>
      </c>
      <c r="C18" s="3" t="inlineStr">
        <is>
          <t>矩阵分析</t>
        </is>
      </c>
      <c r="D18" s="2" t="inlineStr">
        <is>
          <t>专业学位课</t>
        </is>
      </c>
      <c r="E18" s="10" t="n">
        <v>2</v>
      </c>
      <c r="F18" s="10" t="n">
        <v>73</v>
      </c>
      <c r="G18" s="10">
        <f>IF(OR(E18="",F18=""),"",E18*F18)</f>
        <v/>
      </c>
    </row>
    <row r="19" ht="21" customHeight="1">
      <c r="A19" s="9" t="n">
        <v>11</v>
      </c>
      <c r="B19" s="2" t="n">
        <v>2421013</v>
      </c>
      <c r="C19" s="3" t="inlineStr">
        <is>
          <t>电子信息技术导论</t>
        </is>
      </c>
      <c r="D19" s="2" t="inlineStr">
        <is>
          <t>专业选修课</t>
        </is>
      </c>
      <c r="E19" s="10" t="n">
        <v>2</v>
      </c>
      <c r="F19" s="10" t="n">
        <v>85</v>
      </c>
      <c r="G19" s="10">
        <f>IF(OR(E19="",F19=""),"",E19*F19)</f>
        <v/>
      </c>
    </row>
    <row r="20" ht="21" customHeight="1">
      <c r="A20" s="9" t="n">
        <v>12</v>
      </c>
      <c r="B20" s="2" t="n">
        <v>2423030</v>
      </c>
      <c r="C20" s="3" t="inlineStr">
        <is>
          <t>最优化理论与算法</t>
        </is>
      </c>
      <c r="D20" s="2" t="inlineStr">
        <is>
          <t>专业选修课</t>
        </is>
      </c>
      <c r="E20" s="10" t="n">
        <v>2</v>
      </c>
      <c r="F20" s="10" t="n">
        <v>81</v>
      </c>
      <c r="G20" s="10">
        <f>IF(OR(E20="",F20=""),"",E20*F20)</f>
        <v/>
      </c>
    </row>
    <row r="21" ht="21" customHeight="1">
      <c r="A21" s="9" t="n">
        <v>13</v>
      </c>
      <c r="B21" s="2" t="n">
        <v>2423050</v>
      </c>
      <c r="C21" s="3" t="inlineStr">
        <is>
          <t>先进目标检测跟踪与识别技术</t>
        </is>
      </c>
      <c r="D21" s="2" t="inlineStr">
        <is>
          <t>专业选修课</t>
        </is>
      </c>
      <c r="E21" s="10" t="n">
        <v>2</v>
      </c>
      <c r="F21" s="10" t="n">
        <v>80</v>
      </c>
      <c r="G21" s="10">
        <f>IF(OR(E21="",F21=""),"",E21*F21)</f>
        <v/>
      </c>
    </row>
    <row r="22" ht="21" customHeight="1">
      <c r="A22" s="9" t="n">
        <v>14</v>
      </c>
      <c r="B22" s="2" t="n">
        <v>2124062</v>
      </c>
      <c r="C22" s="3" t="inlineStr">
        <is>
          <t>三维CAD建模</t>
        </is>
      </c>
      <c r="D22" s="2" t="inlineStr">
        <is>
          <t>跨专业课</t>
        </is>
      </c>
      <c r="E22" s="10" t="n">
        <v>2</v>
      </c>
      <c r="F22" s="10" t="n">
        <v>94</v>
      </c>
      <c r="G22" s="10">
        <f>IF(OR(E22="",F22=""),"",E22*F22)</f>
        <v/>
      </c>
    </row>
    <row r="23" ht="21" customHeight="1">
      <c r="A23" s="9" t="n">
        <v>15</v>
      </c>
      <c r="B23" s="2" t="n"/>
      <c r="C23" s="2" t="n"/>
      <c r="D23" s="2" t="n"/>
      <c r="E23" s="10" t="n"/>
      <c r="F23" s="10">
        <f>IF(OR(D23="",E23=""),"",D23*E23)</f>
        <v/>
      </c>
      <c r="G23" s="10">
        <f>IF(OR(E23="",F23=""),"",E23*F23)</f>
        <v/>
      </c>
    </row>
    <row r="24" ht="21" customHeight="1">
      <c r="A24" s="9" t="n">
        <v>16</v>
      </c>
      <c r="B24" s="2" t="n"/>
      <c r="C24" s="2" t="n"/>
      <c r="D24" s="2" t="n"/>
      <c r="E24" s="10" t="n"/>
      <c r="F24" s="10">
        <f>IF(OR(D24="",E24=""),"",D24*E24)</f>
        <v/>
      </c>
      <c r="G24" s="10">
        <f>IF(OR(E24="",F24=""),"",E24*F24)</f>
        <v/>
      </c>
    </row>
    <row r="25" ht="21" customHeight="1">
      <c r="A25" s="9" t="n">
        <v>17</v>
      </c>
      <c r="B25" s="2" t="n"/>
      <c r="C25" s="2" t="n"/>
      <c r="D25" s="2" t="n"/>
      <c r="E25" s="10" t="n"/>
      <c r="F25" s="10">
        <f>IF(OR(D25="",E25=""),"",D25*E25)</f>
        <v/>
      </c>
      <c r="G25" s="10">
        <f>IF(OR(E25="",F25=""),"",E25*F25)</f>
        <v/>
      </c>
    </row>
    <row r="26" ht="21" customHeight="1">
      <c r="A26" s="9" t="n">
        <v>18</v>
      </c>
      <c r="B26" s="2" t="n"/>
      <c r="C26" s="2" t="n"/>
      <c r="D26" s="2" t="n"/>
      <c r="E26" s="10" t="n"/>
      <c r="F26" s="10">
        <f>IF(OR(D26="",E26=""),"",D26*E26)</f>
        <v/>
      </c>
      <c r="G26" s="10">
        <f>IF(OR(E26="",F26=""),"",E26*F26)</f>
        <v/>
      </c>
    </row>
    <row r="27" ht="21" customHeight="1">
      <c r="A27" s="9" t="n">
        <v>19</v>
      </c>
      <c r="B27" s="2" t="n"/>
      <c r="C27" s="2" t="n"/>
      <c r="D27" s="2" t="n"/>
      <c r="E27" s="10" t="n"/>
      <c r="F27" s="10">
        <f>IF(OR(D27="",E27=""),"",D27*E27)</f>
        <v/>
      </c>
      <c r="G27" s="10">
        <f>IF(OR(E27="",F27=""),"",E27*F27)</f>
        <v/>
      </c>
    </row>
    <row r="28" ht="21" customHeight="1">
      <c r="A28" s="9" t="n">
        <v>20</v>
      </c>
      <c r="B28" s="2" t="n"/>
      <c r="C28" s="2" t="n"/>
      <c r="D28" s="2" t="n"/>
      <c r="E28" s="10" t="n"/>
      <c r="F28" s="10">
        <f>IF(OR(D28="",E28=""),"",D28*E28)</f>
        <v/>
      </c>
      <c r="G28" s="10">
        <f>IF(OR(E28="",F28=""),"",E28*F28)</f>
        <v/>
      </c>
    </row>
    <row r="29" ht="21" customHeight="1">
      <c r="A29" s="9" t="n">
        <v>21</v>
      </c>
      <c r="B29" s="2" t="n"/>
      <c r="C29" s="2" t="n"/>
      <c r="D29" s="2" t="n"/>
      <c r="E29" s="10" t="n"/>
      <c r="F29" s="10">
        <f>IF(OR(D29="",E29=""),"",D29*E29)</f>
        <v/>
      </c>
      <c r="G29" s="10">
        <f>IF(OR(E29="",F29=""),"",E29*F29)</f>
        <v/>
      </c>
    </row>
    <row r="30" ht="21" customHeight="1">
      <c r="A30" s="9" t="n">
        <v>22</v>
      </c>
      <c r="B30" s="2" t="n"/>
      <c r="C30" s="2" t="n"/>
      <c r="D30" s="2" t="n"/>
      <c r="E30" s="10" t="n"/>
      <c r="F30" s="10">
        <f>IF(OR(D30="",E30=""),"",D30*E30)</f>
        <v/>
      </c>
      <c r="G30" s="10">
        <f>IF(OR(E30="",F30=""),"",E30*F30)</f>
        <v/>
      </c>
    </row>
    <row r="31" ht="21" customHeight="1">
      <c r="A31" s="9" t="n">
        <v>23</v>
      </c>
      <c r="B31" s="2" t="n"/>
      <c r="C31" s="2" t="n"/>
      <c r="D31" s="2" t="n"/>
      <c r="E31" s="10" t="n"/>
      <c r="F31" s="10">
        <f>IF(OR(D31="",E31=""),"",D31*E31)</f>
        <v/>
      </c>
      <c r="G31" s="10">
        <f>IF(OR(E31="",F31=""),"",E31*F31)</f>
        <v/>
      </c>
    </row>
    <row r="32" ht="21" customHeight="1">
      <c r="A32" s="9" t="n">
        <v>24</v>
      </c>
      <c r="B32" s="2" t="n"/>
      <c r="C32" s="2" t="n"/>
      <c r="D32" s="2" t="n"/>
      <c r="E32" s="10" t="n"/>
      <c r="F32" s="10">
        <f>IF(OR(D32="",E32=""),"",D32*E32)</f>
        <v/>
      </c>
      <c r="G32" s="10">
        <f>IF(OR(E32="",F32=""),"",E32*F32)</f>
        <v/>
      </c>
    </row>
    <row r="33" ht="21" customHeight="1">
      <c r="A33" s="9" t="n">
        <v>25</v>
      </c>
      <c r="B33" s="2" t="n"/>
      <c r="C33" s="2" t="n"/>
      <c r="D33" s="2" t="n"/>
      <c r="E33" s="10" t="n"/>
      <c r="F33" s="10">
        <f>IF(OR(D33="",E33=""),"",D33*E33)</f>
        <v/>
      </c>
      <c r="G33" s="10">
        <f>IF(OR(E33="",F33=""),"",E33*F33)</f>
        <v/>
      </c>
    </row>
    <row r="34">
      <c r="E34" s="11" t="n"/>
      <c r="F34" s="11" t="n"/>
      <c r="G34" s="11" t="n"/>
    </row>
    <row r="35" ht="24" customHeight="1">
      <c r="A35" s="12" t="inlineStr">
        <is>
          <t>课程总学分</t>
        </is>
      </c>
      <c r="B35" s="12" t="n"/>
      <c r="C35" s="12" t="n"/>
      <c r="D35" s="12" t="n"/>
      <c r="E35" s="13">
        <f>SUM(E9:E33)</f>
        <v/>
      </c>
      <c r="F35" s="11" t="n"/>
      <c r="G35" s="11" t="n"/>
    </row>
    <row r="36" ht="24" customHeight="1">
      <c r="A36" s="12" t="inlineStr">
        <is>
          <t>课程学习加权平均成绩</t>
        </is>
      </c>
      <c r="B36" s="12" t="n"/>
      <c r="C36" s="12" t="n"/>
      <c r="D36" s="12" t="n"/>
      <c r="E36" s="13">
        <f>IFERROR(SUM(G9:G33)/SUM(E9:E33),"")</f>
        <v/>
      </c>
      <c r="F36" s="11" t="n"/>
      <c r="G36" s="11" t="n"/>
    </row>
    <row r="38" ht="28" customHeight="1">
      <c r="A38" s="14" t="inlineStr">
        <is>
          <t>导师确认：本人已核对课程成绩及加权平均成绩。签字：______________    日期：____年____月____日</t>
        </is>
      </c>
      <c r="B38" s="17" t="n"/>
      <c r="C38" s="17" t="n"/>
      <c r="D38" s="17" t="n"/>
      <c r="E38" s="17" t="n"/>
      <c r="F38" s="17" t="n"/>
      <c r="G38" s="18" t="n"/>
    </row>
    <row r="39" ht="42" customHeight="1"/>
    <row r="40" ht="40" customHeight="1"/>
    <row r="41" ht="40" customHeight="1"/>
  </sheetData>
  <mergeCells count="3">
    <mergeCell ref="A38:G38"/>
    <mergeCell ref="A1:G1"/>
    <mergeCell ref="B6:G6"/>
  </mergeCells>
  <dataValidations count="1">
    <dataValidation sqref="D9:D33" showDropDown="0" showInputMessage="0" showErrorMessage="0" allowBlank="0" type="list">
      <formula1>"公共学位课,公共选修课,专业学位课,专业选修课,跨专业课"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Think</dc:creator>
  <dcterms:created xmlns:dcterms="http://purl.org/dc/terms/" xmlns:xsi="http://www.w3.org/2001/XMLSchema-instance" xsi:type="dcterms:W3CDTF">2026-09-21T05:13:00Z</dcterms:created>
  <dcterms:modified xmlns:dcterms="http://purl.org/dc/terms/" xmlns:xsi="http://www.w3.org/2001/XMLSchema-instance" xsi:type="dcterms:W3CDTF">2026-10-09T14:20:04Z</dcterms:modified>
  <cp:lastModifiedBy>张瑞鹏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C42A847970314D439605A52C538F44FB_12</vt:lpwstr>
  </property>
  <property name="KSOProductBuildVer" fmtid="{D5CDD505-2E9C-101B-9397-08002B2CF9AE}" pid="3">
    <vt:lpwstr xmlns:vt="http://schemas.openxmlformats.org/officeDocument/2006/docPropsVTypes">2052-12.1.0.28022</vt:lpwstr>
  </property>
  <property name="CalculationRule" fmtid="{D5CDD505-2E9C-101B-9397-08002B2CF9AE}" pid="4">
    <vt:i4 xmlns:vt="http://schemas.openxmlformats.org/officeDocument/2006/docPropsVTypes">0</vt:i4>
  </property>
</Properties>
</file>