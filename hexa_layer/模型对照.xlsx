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pern\Desktop\todo\jiuyuan-quailty\"/>
    </mc:Choice>
  </mc:AlternateContent>
  <bookViews>
    <workbookView windowWidth="22188" windowHeight="9060"/>
  </bookViews>
  <sheets>
    <sheet name="skewness&gt;0.9 " sheetId="4" r:id="rId1"/>
    <sheet name="skewness0.9" sheetId="2" r:id="rId2"/>
  </sheets>
  <definedNames>
    <definedName name="_xlnm._FilterDatabase" localSheetId="0" hidden="1">'skewness&gt;0.9 '!$B$1:$N$42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I8" authorId="0">
      <text>
        <r>
          <rPr>
            <sz val="10"/>
            <rFont val="宋体"/>
            <charset val="134"/>
          </rPr>
          <t>BoundaryEdge：边(59, 60)，面1。输入完整表面非封闭。</t>
        </r>
      </text>
    </comment>
    <comment ref="I10" authorId="0">
      <text>
        <r>
          <rPr>
            <sz val="10"/>
            <rFont val="宋体"/>
            <charset val="134"/>
          </rPr>
          <t>BoundaryEdge：边(59, 60)，面1。输入完整表面非封闭。</t>
        </r>
      </text>
    </comment>
    <comment ref="I14" authorId="0">
      <text>
        <r>
          <rPr>
            <sz val="10"/>
            <rFont val="宋体"/>
            <charset val="134"/>
          </rPr>
          <t>BoundaryEdge：边(59, 60)，面1。输入完整表面非封闭。</t>
        </r>
      </text>
    </comment>
    <comment ref="I15" authorId="0">
      <text>
        <r>
          <rPr>
            <sz val="10"/>
            <rFont val="宋体"/>
            <charset val="134"/>
          </rPr>
          <t>BoundaryEdge：边(59, 60)，面1。输入完整表面非封闭。</t>
        </r>
      </text>
    </comment>
    <comment ref="I19" authorId="0">
      <text>
        <r>
          <rPr>
            <sz val="10"/>
            <rFont val="宋体"/>
            <charset val="134"/>
          </rPr>
          <t>BoundaryEdge：边(59, 60)，面1。输入完整表面非封闭。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I8" authorId="0">
      <text>
        <r>
          <rPr>
            <sz val="10"/>
            <rFont val="宋体"/>
            <charset val="134"/>
          </rPr>
          <t>BoundaryEdge：边(59, 60)，面1。输入完整表面非封闭。</t>
        </r>
      </text>
    </comment>
    <comment ref="I10" authorId="0">
      <text>
        <r>
          <rPr>
            <sz val="10"/>
            <rFont val="宋体"/>
            <charset val="134"/>
          </rPr>
          <t>BoundaryEdge：边(59, 60)，面1。输入完整表面非封闭。</t>
        </r>
      </text>
    </comment>
    <comment ref="I14" authorId="0">
      <text>
        <r>
          <rPr>
            <sz val="10"/>
            <rFont val="宋体"/>
            <charset val="134"/>
          </rPr>
          <t>BoundaryEdge：边(59, 60)，面1。输入完整表面非封闭。</t>
        </r>
      </text>
    </comment>
    <comment ref="I15" authorId="0">
      <text>
        <r>
          <rPr>
            <sz val="10"/>
            <rFont val="宋体"/>
            <charset val="134"/>
          </rPr>
          <t>BoundaryEdge：边(59, 60)，面1。输入完整表面非封闭。</t>
        </r>
      </text>
    </comment>
    <comment ref="I19" authorId="0">
      <text>
        <r>
          <rPr>
            <sz val="10"/>
            <rFont val="宋体"/>
            <charset val="134"/>
          </rPr>
          <t>BoundaryEdge：边(59, 60)，面1。输入完整表面非封闭。</t>
        </r>
      </text>
    </comment>
  </commentList>
</comments>
</file>

<file path=xl/sharedStrings.xml><?xml version="1.0" encoding="utf-8"?>
<sst xmlns="http://schemas.openxmlformats.org/spreadsheetml/2006/main" count="162" uniqueCount="69">
  <si>
    <t>编号</t>
  </si>
  <si>
    <t>模型名称</t>
  </si>
  <si>
    <t>面网格准备</t>
  </si>
  <si>
    <t>层数</t>
  </si>
  <si>
    <t>步长厚度</t>
  </si>
  <si>
    <t>Pointwise</t>
  </si>
  <si>
    <t>tiger生成</t>
  </si>
  <si>
    <t>是否优化</t>
  </si>
  <si>
    <t>是否符合不高于120%的指标</t>
  </si>
  <si>
    <t>备注</t>
  </si>
  <si>
    <t>sufaccesize</t>
  </si>
  <si>
    <t>hmax</t>
  </si>
  <si>
    <t>remove</t>
  </si>
  <si>
    <t>boxsacale</t>
  </si>
  <si>
    <t>skewness&gt;0.9单元数</t>
  </si>
  <si>
    <t>总单元数</t>
  </si>
  <si>
    <t>占比</t>
  </si>
  <si>
    <t>skewness&gt;0.9</t>
  </si>
  <si>
    <t>2.5D 几何模型</t>
  </si>
  <si>
    <t>成功</t>
  </si>
  <si>
    <t>50 BMG 子弹模型</t>
  </si>
  <si>
    <t>翼型几何体</t>
  </si>
  <si>
    <t>AIM-54 导弹模型</t>
  </si>
  <si>
    <t>非均匀网格测试案例</t>
  </si>
  <si>
    <t>注：1.附面层正常，八叉树核心生成失败：附面层的顶面可以用Dt生成四面体，但是导入八叉树核心卡死。会卡在如图所示位置，但是有概率成功。对于非均匀网格测试案例，就是有时候可以有时候不行。</t>
  </si>
  <si>
    <t>装配体模型</t>
  </si>
  <si>
    <t>质量不如</t>
  </si>
  <si>
    <t>装配体模型 2</t>
  </si>
  <si>
    <t>基准测试案例</t>
  </si>
  <si>
    <t>成功：附面层正常，八叉树核心生成失败</t>
  </si>
  <si>
    <t>叶片模型</t>
  </si>
  <si>
    <t>显示存在非流行边</t>
  </si>
  <si>
    <t>轰炸机模型</t>
  </si>
  <si>
    <t>回旋镖形状/测试案例</t>
  </si>
  <si>
    <t>圆形孔阵列几何体</t>
  </si>
  <si>
    <t>圆锥体几何体</t>
  </si>
  <si>
    <t>圆锥体切割几何体</t>
  </si>
  <si>
    <t>波纹管几何体</t>
  </si>
  <si>
    <t>立方体几何体</t>
  </si>
  <si>
    <t>德尔塔 II 型火箭模型</t>
  </si>
  <si>
    <t>E3 叶片模型（叶尖）</t>
  </si>
  <si>
    <t>EADS Mako 飞机模型（仿真）</t>
  </si>
  <si>
    <t>成功：质量上需要特定调参</t>
  </si>
  <si>
    <t>F-16 飞机模型（旋转/附加）</t>
  </si>
  <si>
    <t>DLR F6 飞机/机翼 1</t>
  </si>
  <si>
    <t>DLR F6 飞机/机翼 2</t>
  </si>
  <si>
    <t>表面网格测试案例</t>
  </si>
  <si>
    <t>H-6K 轰炸机模型</t>
  </si>
  <si>
    <t>带孔几何体（壁面边界）</t>
  </si>
  <si>
    <t>HAL HF-24 Marut 飞机模型</t>
  </si>
  <si>
    <t>失败：pointwise突然生成不了了</t>
  </si>
  <si>
    <t>民兵 I 导弹模型</t>
  </si>
  <si>
    <t>导弹模型 9</t>
  </si>
  <si>
    <t>NACA 2412 翼型</t>
  </si>
  <si>
    <t>NACA 0009 翼型</t>
  </si>
  <si>
    <t>“大地”导弹模型</t>
  </si>
  <si>
    <t>缩放/子结构测试案例</t>
  </si>
  <si>
    <t>尖锐凸几何体</t>
  </si>
  <si>
    <t>斜面几何体</t>
  </si>
  <si>
    <t>球体几何体</t>
  </si>
  <si>
    <t>潜艇模型</t>
  </si>
  <si>
    <t>坦克模型</t>
  </si>
  <si>
    <t>三立方体几何体</t>
  </si>
  <si>
    <t>塔盒组合几何体</t>
  </si>
  <si>
    <t>KCS 船舶模型</t>
  </si>
  <si>
    <t>六面体附面层生成</t>
  </si>
  <si>
    <t>远场八叉树生成</t>
  </si>
  <si>
    <t>总占比</t>
  </si>
  <si>
    <t>DLR F6 飞机/机翼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</si>
</sst>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2">
    <font>
      <sz val="12"/>
      <name val="宋体"/>
      <charset val="134"/>
    </font>
    <font>
      <sz val="10"/>
      <color rgb="FF00000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57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"/>
      </bottom>
      <diagonal/>
    </border>
    <border>
      <left/>
      <right/>
      <top/>
      <bottom style="medium">
        <color theme="4" tint="0.3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4" borderId="8">
      <alignment vertical="center"/>
    </xf>
    <xf numFmtId="0" fontId="11" fillId="5" borderId="9">
      <alignment vertical="center"/>
    </xf>
    <xf numFmtId="0" fontId="12" fillId="5" borderId="8">
      <alignment vertical="center"/>
    </xf>
    <xf numFmtId="0" fontId="13" fillId="6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</cellStyleXfs>
  <cellXfs count="35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Fill="1" applyBorder="1" applyAlignment="1"/>
    <xf numFmtId="0" fontId="0" fillId="0" borderId="0" xfId="0" applyFill="1" applyAlignment="1"/>
    <xf numFmtId="176" fontId="0" fillId="0" borderId="2" xfId="0" applyNumberFormat="1" applyFill="1" applyBorder="1" applyAlignment="1">
      <alignment vertical="center"/>
    </xf>
    <xf numFmtId="0" fontId="0" fillId="0" borderId="2" xfId="0" applyFill="1" applyBorder="1" applyAlignment="1"/>
    <xf numFmtId="0" fontId="0" fillId="0" borderId="1" xfId="0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2" xfId="0" applyFont="1" applyFill="1" applyBorder="1" applyAlignment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76" fontId="0" fillId="2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0" xfId="0" applyFont="1" applyFill="1" applyAlignment="1"/>
    <xf numFmtId="0" fontId="0" fillId="2" borderId="0" xfId="0" applyFont="1" applyFill="1" applyAlignment="1">
      <alignment horizontal="center"/>
    </xf>
    <xf numFmtId="0" fontId="0" fillId="0" borderId="0" xfId="0" applyFill="1" applyAlignment="1">
      <alignment vertical="center"/>
    </xf>
    <xf numFmtId="176" fontId="0" fillId="0" borderId="3" xfId="0" applyNumberForma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7</xdr:row>
      <xdr:rowOff>0</xdr:rowOff>
    </xdr:from>
    <xdr:to>
      <xdr:col>29</xdr:col>
      <xdr:colOff>129540</xdr:colOff>
      <xdr:row>47</xdr:row>
      <xdr:rowOff>7620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162875" y="396240"/>
          <a:ext cx="6301740" cy="1196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42"/>
  <sheetViews>
    <sheetView tabSelected="1" zoomScale="70" zoomScaleNormal="70" topLeftCell="F1" workbookViewId="0">
      <selection activeCell="N60" sqref="N60"/>
    </sheetView>
  </sheetViews>
  <sheetFormatPr defaultColWidth="9" defaultRowHeight="15.6"/>
  <cols>
    <col min="1" max="1" width="9" style="3" customWidth="1"/>
    <col min="2" max="2" width="47.7" style="3" customWidth="1"/>
    <col min="3" max="3" width="20.3" style="4" customWidth="1"/>
    <col min="4" max="4" width="20.3" style="5" customWidth="1"/>
    <col min="5" max="5" width="26.425" style="4" customWidth="1"/>
    <col min="6" max="6" width="20.3" style="6" customWidth="1"/>
    <col min="7" max="7" width="20.3" style="7" customWidth="1"/>
    <col min="8" max="8" width="14" style="8" customWidth="1"/>
    <col min="9" max="9" width="24.2" style="14" customWidth="1"/>
    <col min="10" max="10" width="16.6" style="14" customWidth="1"/>
    <col min="11" max="11" width="22.3" style="9" customWidth="1"/>
    <col min="12" max="12" width="22.3" style="7" customWidth="1"/>
    <col min="13" max="13" width="32" style="4" customWidth="1"/>
    <col min="14" max="14" width="82.1833333333333" style="5" customWidth="1"/>
    <col min="15" max="15" width="12.3" style="4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0" t="s">
        <v>5</v>
      </c>
      <c r="G1" s="10"/>
      <c r="H1" s="27"/>
      <c r="I1" s="11" t="s">
        <v>6</v>
      </c>
      <c r="J1" s="28"/>
      <c r="K1" s="13"/>
      <c r="L1" s="11" t="s">
        <v>7</v>
      </c>
      <c r="M1" s="3" t="s">
        <v>8</v>
      </c>
      <c r="N1" s="3" t="s">
        <v>9</v>
      </c>
      <c r="O1" s="5" t="s">
        <v>10</v>
      </c>
      <c r="P1" t="s">
        <v>11</v>
      </c>
      <c r="Q1" t="s">
        <v>12</v>
      </c>
      <c r="R1" t="s">
        <v>13</v>
      </c>
    </row>
    <row r="2" hidden="1" spans="1:21">
      <c r="C2" s="3"/>
      <c r="D2" s="3"/>
      <c r="E2" s="3"/>
      <c r="F2" s="10" t="s">
        <v>14</v>
      </c>
      <c r="G2" s="15" t="s">
        <v>15</v>
      </c>
      <c r="H2" s="16" t="s">
        <v>16</v>
      </c>
      <c r="I2" s="11" t="s">
        <v>17</v>
      </c>
      <c r="J2" s="11" t="s">
        <v>15</v>
      </c>
      <c r="K2" s="17" t="s">
        <v>16</v>
      </c>
      <c r="L2" s="11"/>
      <c r="M2" s="3"/>
      <c r="N2" s="3"/>
    </row>
    <row r="3" hidden="1" spans="1:21">
      <c r="A3" s="3">
        <v>1</v>
      </c>
      <c r="B3" s="3" t="s">
        <v>18</v>
      </c>
      <c r="C3">
        <v>1</v>
      </c>
      <c r="D3" s="29">
        <v>20</v>
      </c>
      <c r="E3" s="29">
        <v>0.1</v>
      </c>
      <c r="F3" s="29">
        <v>7075</v>
      </c>
      <c r="G3" s="29">
        <v>6268307</v>
      </c>
      <c r="H3" s="16">
        <f t="shared" ref="H3:H15" si="0">IFERROR(F3/G3,"")</f>
        <v>0.00112869392006486</v>
      </c>
      <c r="I3" s="30">
        <v>3108</v>
      </c>
      <c r="J3" s="30">
        <v>3788620</v>
      </c>
      <c r="K3" s="29">
        <f>IFERROR((I3)/(J3),"")</f>
        <v>0.000820351473623641</v>
      </c>
      <c r="L3" s="11">
        <v>30</v>
      </c>
      <c r="M3" s="3">
        <f>IFERROR(IF((I3)/(J3)-1.2*H3&lt;0,1,0),"0")</f>
        <v>1</v>
      </c>
      <c r="N3" s="5" t="s">
        <v>19</v>
      </c>
    </row>
    <row r="4" hidden="1" spans="1:21">
      <c r="A4" s="3">
        <v>2</v>
      </c>
      <c r="B4" s="3" t="s">
        <v>20</v>
      </c>
      <c r="C4">
        <v>1</v>
      </c>
      <c r="D4" s="29">
        <v>20</v>
      </c>
      <c r="E4" s="29">
        <v>0.1</v>
      </c>
      <c r="F4" s="29">
        <v>736</v>
      </c>
      <c r="G4" s="29">
        <v>1460888</v>
      </c>
      <c r="H4" s="16">
        <f t="shared" si="0"/>
        <v>0.000503803166293378</v>
      </c>
      <c r="I4" s="29">
        <v>60</v>
      </c>
      <c r="J4" s="29">
        <v>1459305</v>
      </c>
      <c r="K4" s="29">
        <f t="shared" ref="K4:K42" si="1">IFERROR((I4)/(J4),"")</f>
        <v>4.11154624975588e-5</v>
      </c>
      <c r="L4" s="11">
        <v>30</v>
      </c>
      <c r="M4" s="3">
        <f t="shared" ref="M4:M42" si="2">IFERROR(IF((I4)/(J4)-1.2*H4&lt;0,1,0),"0")</f>
        <v>1</v>
      </c>
      <c r="N4" s="3" t="s">
        <v>19</v>
      </c>
      <c r="O4" s="3"/>
    </row>
    <row r="5" hidden="1" spans="1:21">
      <c r="A5" s="3">
        <v>3</v>
      </c>
      <c r="B5" s="3" t="s">
        <v>21</v>
      </c>
      <c r="C5">
        <v>1</v>
      </c>
      <c r="D5" s="29">
        <v>20</v>
      </c>
      <c r="E5" s="29">
        <v>0.1</v>
      </c>
      <c r="F5" s="29">
        <v>2162</v>
      </c>
      <c r="G5" s="29">
        <v>948946</v>
      </c>
      <c r="H5" s="16">
        <f t="shared" si="0"/>
        <v>0.00227831720666929</v>
      </c>
      <c r="I5" s="29">
        <v>3</v>
      </c>
      <c r="J5" s="30">
        <v>1190376</v>
      </c>
      <c r="K5" s="29">
        <f t="shared" si="1"/>
        <v>2.52021210105042e-6</v>
      </c>
      <c r="L5" s="11">
        <v>30</v>
      </c>
      <c r="M5" s="3">
        <f t="shared" si="2"/>
        <v>1</v>
      </c>
      <c r="N5" s="3" t="s">
        <v>19</v>
      </c>
      <c r="O5" s="3"/>
    </row>
    <row r="6" hidden="1" spans="1:21">
      <c r="A6" s="3">
        <v>4</v>
      </c>
      <c r="B6" s="3" t="s">
        <v>22</v>
      </c>
      <c r="C6">
        <v>1</v>
      </c>
      <c r="D6" s="29">
        <v>20</v>
      </c>
      <c r="E6" s="29">
        <v>0.1</v>
      </c>
      <c r="F6" s="29">
        <v>15504</v>
      </c>
      <c r="G6" s="29">
        <v>14998236</v>
      </c>
      <c r="H6" s="16">
        <f t="shared" si="0"/>
        <v>0.00103372156565612</v>
      </c>
      <c r="I6" s="29">
        <v>5801</v>
      </c>
      <c r="J6" s="31">
        <v>13564577</v>
      </c>
      <c r="K6" s="29">
        <f t="shared" si="1"/>
        <v>0.000427658009534687</v>
      </c>
      <c r="L6" s="11">
        <v>0</v>
      </c>
      <c r="M6" s="3">
        <f t="shared" si="2"/>
        <v>1</v>
      </c>
      <c r="N6" s="5" t="s">
        <v>19</v>
      </c>
      <c r="O6" s="3"/>
    </row>
    <row r="7" spans="1:21">
      <c r="A7" s="3">
        <v>5</v>
      </c>
      <c r="B7" s="3" t="s">
        <v>23</v>
      </c>
      <c r="C7">
        <v>1</v>
      </c>
      <c r="D7" s="29">
        <v>20</v>
      </c>
      <c r="E7" s="29">
        <v>0.0245955</v>
      </c>
      <c r="F7" s="29">
        <v>52666</v>
      </c>
      <c r="G7" s="29">
        <v>6062193</v>
      </c>
      <c r="H7" s="16">
        <f t="shared" si="0"/>
        <v>0.00868761519140021</v>
      </c>
      <c r="I7" s="29">
        <v>27144</v>
      </c>
      <c r="J7" s="29">
        <v>3579016</v>
      </c>
      <c r="K7" s="29">
        <f t="shared" si="1"/>
        <v>0.00758420750284436</v>
      </c>
      <c r="L7" s="11">
        <v>5</v>
      </c>
      <c r="M7" s="3">
        <f t="shared" si="2"/>
        <v>1</v>
      </c>
      <c r="N7" s="3" t="s">
        <v>19</v>
      </c>
      <c r="O7" s="3"/>
      <c r="U7" t="s">
        <v>24</v>
      </c>
    </row>
    <row r="8" hidden="1" spans="1:21">
      <c r="A8" s="3">
        <v>6</v>
      </c>
      <c r="B8" s="3" t="s">
        <v>25</v>
      </c>
      <c r="C8">
        <v>1</v>
      </c>
      <c r="D8" s="29">
        <v>20</v>
      </c>
      <c r="E8" s="29">
        <v>2.12019e-5</v>
      </c>
      <c r="F8" s="29">
        <v>25528</v>
      </c>
      <c r="G8" s="29">
        <v>8463954</v>
      </c>
      <c r="H8" s="16">
        <f t="shared" si="0"/>
        <v>0.00301608444469334</v>
      </c>
      <c r="I8" s="29">
        <v>8596</v>
      </c>
      <c r="J8" s="29">
        <v>4156739</v>
      </c>
      <c r="K8" s="29">
        <f t="shared" si="1"/>
        <v>0.00206796722142045</v>
      </c>
      <c r="L8" s="11">
        <v>30</v>
      </c>
      <c r="M8" s="3">
        <f t="shared" si="2"/>
        <v>1</v>
      </c>
      <c r="N8" s="3" t="s">
        <v>19</v>
      </c>
      <c r="O8" s="3">
        <v>0.2</v>
      </c>
      <c r="P8">
        <v>1307</v>
      </c>
      <c r="Q8">
        <v>2</v>
      </c>
      <c r="R8">
        <v>1</v>
      </c>
      <c r="S8" t="s">
        <v>26</v>
      </c>
    </row>
    <row r="9" hidden="1" spans="1:21">
      <c r="A9" s="3">
        <v>7</v>
      </c>
      <c r="B9" s="3" t="s">
        <v>27</v>
      </c>
      <c r="C9">
        <v>1</v>
      </c>
      <c r="D9" s="29">
        <v>20</v>
      </c>
      <c r="E9" s="29">
        <v>0.0223984</v>
      </c>
      <c r="F9" s="29">
        <v>7365</v>
      </c>
      <c r="G9" s="29">
        <v>1418667</v>
      </c>
      <c r="H9" s="16">
        <f t="shared" si="0"/>
        <v>0.00519149314109654</v>
      </c>
      <c r="I9" s="29">
        <v>3756</v>
      </c>
      <c r="J9" s="29">
        <v>1136981</v>
      </c>
      <c r="K9" s="29">
        <f t="shared" si="1"/>
        <v>0.00330348528251571</v>
      </c>
      <c r="L9" s="11">
        <v>0</v>
      </c>
      <c r="M9" s="3">
        <f t="shared" si="2"/>
        <v>1</v>
      </c>
      <c r="N9" s="5" t="s">
        <v>19</v>
      </c>
      <c r="O9" s="3"/>
    </row>
    <row r="10" hidden="1" spans="1:21">
      <c r="A10" s="3">
        <v>8</v>
      </c>
      <c r="B10" s="3" t="s">
        <v>28</v>
      </c>
      <c r="C10">
        <v>1</v>
      </c>
      <c r="D10" s="29">
        <v>20</v>
      </c>
      <c r="E10" s="29">
        <v>0.0999984</v>
      </c>
      <c r="F10" s="29">
        <v>26387</v>
      </c>
      <c r="G10" s="29">
        <v>23773672</v>
      </c>
      <c r="H10" s="16">
        <f t="shared" si="0"/>
        <v>0.00110992529887684</v>
      </c>
      <c r="I10" s="29">
        <v>10062</v>
      </c>
      <c r="J10" s="29">
        <v>15745981</v>
      </c>
      <c r="K10" s="29">
        <f t="shared" si="1"/>
        <v>0.000639020204584268</v>
      </c>
      <c r="L10" s="11">
        <v>0</v>
      </c>
      <c r="M10" s="3">
        <f t="shared" si="2"/>
        <v>1</v>
      </c>
      <c r="N10" s="3" t="s">
        <v>29</v>
      </c>
      <c r="O10" s="4">
        <v>20</v>
      </c>
      <c r="P10" s="3">
        <v>5000</v>
      </c>
      <c r="Q10" s="3">
        <v>2</v>
      </c>
      <c r="R10" s="3">
        <v>10</v>
      </c>
      <c r="S10" s="3"/>
    </row>
    <row r="11" hidden="1" spans="1:21">
      <c r="A11" s="3">
        <v>9</v>
      </c>
      <c r="B11" s="3" t="s">
        <v>30</v>
      </c>
      <c r="C11">
        <v>1</v>
      </c>
      <c r="D11" s="29">
        <v>20</v>
      </c>
      <c r="E11" s="29">
        <v>0.197257</v>
      </c>
      <c r="F11" s="29">
        <v>809683</v>
      </c>
      <c r="G11" s="29">
        <v>37342202</v>
      </c>
      <c r="H11" s="16">
        <f t="shared" si="0"/>
        <v>0.0216827866765865</v>
      </c>
      <c r="I11" s="29">
        <v>39209</v>
      </c>
      <c r="J11" s="29">
        <v>18389212</v>
      </c>
      <c r="K11" s="29">
        <f t="shared" si="1"/>
        <v>0.00213217401593935</v>
      </c>
      <c r="L11" s="11">
        <v>5</v>
      </c>
      <c r="M11" s="3">
        <f t="shared" si="2"/>
        <v>1</v>
      </c>
      <c r="N11" s="3" t="s">
        <v>19</v>
      </c>
      <c r="O11" s="3">
        <v>50</v>
      </c>
      <c r="P11">
        <v>5000</v>
      </c>
      <c r="Q11">
        <v>10</v>
      </c>
      <c r="R11">
        <v>2</v>
      </c>
      <c r="S11" t="s">
        <v>31</v>
      </c>
    </row>
    <row r="12" hidden="1" spans="1:21">
      <c r="A12" s="3">
        <v>10</v>
      </c>
      <c r="B12" s="3" t="s">
        <v>32</v>
      </c>
      <c r="C12">
        <v>1</v>
      </c>
      <c r="D12" s="29">
        <v>20</v>
      </c>
      <c r="E12" s="29">
        <v>0.000130296</v>
      </c>
      <c r="F12" s="29">
        <v>18056</v>
      </c>
      <c r="G12" s="29">
        <v>3161813</v>
      </c>
      <c r="H12" s="16">
        <f t="shared" si="0"/>
        <v>0.00571064765689812</v>
      </c>
      <c r="I12" s="29">
        <v>350</v>
      </c>
      <c r="J12" s="30">
        <v>1247508</v>
      </c>
      <c r="K12" s="29">
        <f t="shared" si="1"/>
        <v>0.000280559323066465</v>
      </c>
      <c r="L12" s="11">
        <v>0</v>
      </c>
      <c r="M12" s="3">
        <f t="shared" si="2"/>
        <v>1</v>
      </c>
      <c r="N12" s="3" t="s">
        <v>19</v>
      </c>
      <c r="O12" s="3"/>
    </row>
    <row r="13" hidden="1" spans="1:21">
      <c r="A13" s="3">
        <v>11</v>
      </c>
      <c r="B13" s="3" t="s">
        <v>33</v>
      </c>
      <c r="C13">
        <v>1</v>
      </c>
      <c r="D13" s="29">
        <v>20</v>
      </c>
      <c r="E13" s="29">
        <v>0.00033708</v>
      </c>
      <c r="F13" s="29">
        <v>1182</v>
      </c>
      <c r="G13" s="29">
        <v>14360959</v>
      </c>
      <c r="H13" s="16">
        <f t="shared" si="0"/>
        <v>8.23064810643913e-5</v>
      </c>
      <c r="I13" s="30">
        <v>316</v>
      </c>
      <c r="J13" s="30">
        <v>7260853</v>
      </c>
      <c r="K13" s="29">
        <f t="shared" si="1"/>
        <v>4.35210573743884e-5</v>
      </c>
      <c r="L13" s="11">
        <v>0</v>
      </c>
      <c r="M13" s="3">
        <f t="shared" si="2"/>
        <v>1</v>
      </c>
      <c r="N13" s="3" t="s">
        <v>19</v>
      </c>
      <c r="O13" s="3"/>
    </row>
    <row r="14" hidden="1" spans="1:21">
      <c r="A14" s="3">
        <v>12</v>
      </c>
      <c r="B14" s="3" t="s">
        <v>34</v>
      </c>
      <c r="C14">
        <v>1</v>
      </c>
      <c r="D14" s="29">
        <v>20</v>
      </c>
      <c r="E14" s="29">
        <v>0.000534215</v>
      </c>
      <c r="F14" s="29">
        <v>34909</v>
      </c>
      <c r="G14" s="29">
        <v>2573916</v>
      </c>
      <c r="H14" s="16">
        <f t="shared" si="0"/>
        <v>0.013562602664578</v>
      </c>
      <c r="I14" s="29">
        <v>1137</v>
      </c>
      <c r="J14" s="29">
        <v>1079974</v>
      </c>
      <c r="K14" s="29">
        <f t="shared" si="1"/>
        <v>0.00105280312303815</v>
      </c>
      <c r="L14" s="11">
        <v>5</v>
      </c>
      <c r="M14" s="3">
        <f t="shared" si="2"/>
        <v>1</v>
      </c>
      <c r="N14" s="3" t="s">
        <v>19</v>
      </c>
      <c r="O14" s="3">
        <v>0.1</v>
      </c>
      <c r="P14">
        <v>15</v>
      </c>
      <c r="Q14">
        <v>3</v>
      </c>
      <c r="R14">
        <v>1</v>
      </c>
    </row>
    <row r="15" hidden="1" spans="1:21">
      <c r="A15" s="3">
        <v>13</v>
      </c>
      <c r="B15" s="3" t="s">
        <v>35</v>
      </c>
      <c r="C15">
        <v>1</v>
      </c>
      <c r="D15" s="29">
        <v>20</v>
      </c>
      <c r="E15" s="29">
        <v>0.00500004</v>
      </c>
      <c r="F15" s="10">
        <v>328</v>
      </c>
      <c r="G15" s="15">
        <v>315660</v>
      </c>
      <c r="H15" s="16">
        <f t="shared" si="0"/>
        <v>0.00103909269467148</v>
      </c>
      <c r="I15" s="29">
        <v>162</v>
      </c>
      <c r="J15" s="29">
        <v>164017</v>
      </c>
      <c r="K15" s="29">
        <f t="shared" si="1"/>
        <v>0.000987702494253645</v>
      </c>
      <c r="L15" s="11">
        <v>0</v>
      </c>
      <c r="M15" s="3">
        <f t="shared" si="2"/>
        <v>1</v>
      </c>
      <c r="N15" s="3" t="s">
        <v>29</v>
      </c>
      <c r="O15" s="3">
        <v>2</v>
      </c>
      <c r="P15" s="3">
        <v>1307</v>
      </c>
      <c r="Q15" s="3">
        <v>2</v>
      </c>
      <c r="R15" s="3">
        <v>1</v>
      </c>
      <c r="S15" s="3"/>
    </row>
    <row r="16" hidden="1" spans="1:21">
      <c r="A16" s="3">
        <v>14</v>
      </c>
      <c r="B16" s="3" t="s">
        <v>36</v>
      </c>
      <c r="C16">
        <v>1</v>
      </c>
      <c r="D16" s="29">
        <v>20</v>
      </c>
      <c r="E16" s="29">
        <v>0.00419732</v>
      </c>
      <c r="F16" s="29">
        <v>402</v>
      </c>
      <c r="G16" s="29">
        <v>413275</v>
      </c>
      <c r="H16" s="29">
        <v>0.000972718</v>
      </c>
      <c r="I16" s="29">
        <v>117</v>
      </c>
      <c r="J16" s="30">
        <v>285014</v>
      </c>
      <c r="K16" s="29">
        <f t="shared" si="1"/>
        <v>0.000410506150575059</v>
      </c>
      <c r="L16" s="11">
        <v>0</v>
      </c>
      <c r="M16" s="3">
        <f t="shared" si="2"/>
        <v>1</v>
      </c>
      <c r="N16" s="3" t="s">
        <v>19</v>
      </c>
      <c r="O16" s="3"/>
    </row>
    <row r="17" hidden="1" spans="1:18">
      <c r="A17" s="3">
        <v>15</v>
      </c>
      <c r="B17" s="3" t="s">
        <v>37</v>
      </c>
      <c r="C17">
        <v>1</v>
      </c>
      <c r="D17" s="29">
        <v>20</v>
      </c>
      <c r="E17" s="29">
        <v>0.0278646</v>
      </c>
      <c r="F17" s="29">
        <v>1413</v>
      </c>
      <c r="G17" s="29">
        <v>4903857</v>
      </c>
      <c r="H17" s="29">
        <v>0.000288141</v>
      </c>
      <c r="I17" s="14">
        <v>147</v>
      </c>
      <c r="J17" s="14">
        <v>4487621</v>
      </c>
      <c r="K17" s="29">
        <f t="shared" si="1"/>
        <v>3.27567769203326e-5</v>
      </c>
      <c r="L17" s="11">
        <v>5</v>
      </c>
      <c r="M17" s="3">
        <f t="shared" si="2"/>
        <v>1</v>
      </c>
      <c r="N17" s="11" t="s">
        <v>19</v>
      </c>
      <c r="O17" s="3"/>
    </row>
    <row r="18" hidden="1" spans="1:18">
      <c r="A18" s="3">
        <v>16</v>
      </c>
      <c r="B18" s="3" t="s">
        <v>38</v>
      </c>
      <c r="C18">
        <v>1</v>
      </c>
      <c r="D18" s="29">
        <v>20</v>
      </c>
      <c r="E18" s="29">
        <v>0.125</v>
      </c>
      <c r="F18" s="29">
        <v>1884</v>
      </c>
      <c r="G18" s="29">
        <v>284348</v>
      </c>
      <c r="H18" s="29">
        <v>0.006625684</v>
      </c>
      <c r="I18" s="29">
        <v>12</v>
      </c>
      <c r="J18" s="30">
        <v>270341</v>
      </c>
      <c r="K18" s="29">
        <f t="shared" si="1"/>
        <v>4.43883835600223e-5</v>
      </c>
      <c r="L18" s="11">
        <v>0</v>
      </c>
      <c r="M18" s="3">
        <f t="shared" si="2"/>
        <v>1</v>
      </c>
      <c r="N18" s="3" t="s">
        <v>19</v>
      </c>
      <c r="O18" s="3"/>
    </row>
    <row r="19" hidden="1" spans="1:18">
      <c r="A19" s="3">
        <v>17</v>
      </c>
      <c r="B19" s="3" t="s">
        <v>39</v>
      </c>
      <c r="C19">
        <v>1</v>
      </c>
      <c r="D19" s="29">
        <v>20</v>
      </c>
      <c r="E19" s="29">
        <v>0.552866</v>
      </c>
      <c r="F19" s="29">
        <v>143968</v>
      </c>
      <c r="G19" s="29">
        <v>7568591</v>
      </c>
      <c r="H19" s="29">
        <v>0.01902177</v>
      </c>
      <c r="I19" s="29">
        <v>137</v>
      </c>
      <c r="J19" s="30">
        <v>5629252</v>
      </c>
      <c r="K19" s="29">
        <f t="shared" si="1"/>
        <v>2.43371588267855e-5</v>
      </c>
      <c r="L19" s="11">
        <v>0</v>
      </c>
      <c r="M19" s="3">
        <f t="shared" si="2"/>
        <v>1</v>
      </c>
      <c r="N19" s="3" t="s">
        <v>19</v>
      </c>
      <c r="O19" s="3"/>
    </row>
    <row r="20" hidden="1" spans="1:18">
      <c r="A20" s="3">
        <v>18</v>
      </c>
      <c r="B20" s="3" t="s">
        <v>40</v>
      </c>
      <c r="C20">
        <v>1</v>
      </c>
      <c r="D20" s="29">
        <v>20</v>
      </c>
      <c r="E20" s="29">
        <v>0.0199997</v>
      </c>
      <c r="F20" s="29">
        <v>5369</v>
      </c>
      <c r="G20" s="29">
        <v>5594569</v>
      </c>
      <c r="H20" s="16">
        <f>IFERROR(F20/G20,"")</f>
        <v>0.000959680718925801</v>
      </c>
      <c r="I20" s="29">
        <v>351</v>
      </c>
      <c r="J20" s="29">
        <v>2701765</v>
      </c>
      <c r="K20" s="29">
        <f t="shared" si="1"/>
        <v>0.000129915074034936</v>
      </c>
      <c r="L20" s="11">
        <v>3</v>
      </c>
      <c r="M20" s="3">
        <f t="shared" si="2"/>
        <v>1</v>
      </c>
      <c r="N20" s="3" t="s">
        <v>19</v>
      </c>
      <c r="O20" s="3">
        <v>5</v>
      </c>
      <c r="P20">
        <v>20</v>
      </c>
      <c r="Q20">
        <v>2</v>
      </c>
      <c r="R20">
        <v>1</v>
      </c>
    </row>
    <row r="21" hidden="1" spans="1:18">
      <c r="A21" s="3">
        <v>19</v>
      </c>
      <c r="B21" s="3" t="s">
        <v>41</v>
      </c>
      <c r="C21">
        <v>1</v>
      </c>
      <c r="D21" s="29">
        <v>20</v>
      </c>
      <c r="E21" s="29">
        <v>0.0154436</v>
      </c>
      <c r="F21" s="29">
        <v>28490</v>
      </c>
      <c r="G21" s="29">
        <v>13713774</v>
      </c>
      <c r="H21" s="16">
        <f>IFERROR(F21/G21,"")</f>
        <v>0.00207747334905767</v>
      </c>
      <c r="I21" s="29">
        <v>37474</v>
      </c>
      <c r="J21" s="29">
        <v>20583559</v>
      </c>
      <c r="K21" s="29">
        <f t="shared" si="1"/>
        <v>0.00182057923024876</v>
      </c>
      <c r="L21" s="11">
        <v>5</v>
      </c>
      <c r="M21" s="3">
        <f t="shared" si="2"/>
        <v>1</v>
      </c>
      <c r="N21" s="3" t="s">
        <v>42</v>
      </c>
      <c r="O21" s="3">
        <v>11</v>
      </c>
      <c r="P21">
        <v>1307</v>
      </c>
      <c r="Q21">
        <v>10</v>
      </c>
      <c r="R21">
        <v>1</v>
      </c>
    </row>
    <row r="22" hidden="1" spans="1:18">
      <c r="A22" s="3">
        <v>20</v>
      </c>
      <c r="B22" s="3" t="s">
        <v>43</v>
      </c>
      <c r="C22">
        <v>1</v>
      </c>
      <c r="D22" s="29">
        <v>20</v>
      </c>
      <c r="E22" s="29">
        <v>0.00656305</v>
      </c>
      <c r="F22" s="29">
        <v>136158</v>
      </c>
      <c r="G22" s="29">
        <v>11361004</v>
      </c>
      <c r="H22" s="29">
        <v>0.01198468</v>
      </c>
      <c r="I22" s="29">
        <v>0</v>
      </c>
      <c r="J22" s="29">
        <v>3199112</v>
      </c>
      <c r="K22" s="29">
        <f t="shared" si="1"/>
        <v>0</v>
      </c>
      <c r="L22" s="11">
        <v>5</v>
      </c>
      <c r="M22" s="3">
        <f t="shared" si="2"/>
        <v>1</v>
      </c>
      <c r="N22" s="3" t="s">
        <v>19</v>
      </c>
      <c r="O22" s="3">
        <v>10</v>
      </c>
      <c r="P22">
        <v>150</v>
      </c>
      <c r="Q22">
        <v>2</v>
      </c>
      <c r="R22">
        <v>1</v>
      </c>
    </row>
    <row r="23" hidden="1" spans="1:18">
      <c r="A23" s="3">
        <v>21</v>
      </c>
      <c r="B23" s="3" t="s">
        <v>44</v>
      </c>
      <c r="C23">
        <v>1</v>
      </c>
      <c r="D23" s="29">
        <v>20</v>
      </c>
      <c r="E23" s="29">
        <v>0.00656305</v>
      </c>
      <c r="F23" s="29">
        <v>64156</v>
      </c>
      <c r="G23" s="29">
        <v>22508338</v>
      </c>
      <c r="H23" s="29">
        <v>0.002850322</v>
      </c>
      <c r="I23" s="29">
        <v>73144</v>
      </c>
      <c r="J23" s="29">
        <v>22493350</v>
      </c>
      <c r="K23" s="29">
        <f t="shared" si="1"/>
        <v>0.0032518055336355</v>
      </c>
      <c r="L23" s="11">
        <v>5</v>
      </c>
      <c r="M23" s="3">
        <f t="shared" si="2"/>
        <v>1</v>
      </c>
      <c r="N23" s="3" t="s">
        <v>42</v>
      </c>
      <c r="O23" s="3">
        <v>11</v>
      </c>
      <c r="P23">
        <v>1307</v>
      </c>
      <c r="Q23">
        <v>5</v>
      </c>
      <c r="R23">
        <v>1</v>
      </c>
    </row>
    <row r="24" hidden="1" spans="1:18">
      <c r="A24" s="3">
        <v>22</v>
      </c>
      <c r="B24" s="3" t="s">
        <v>45</v>
      </c>
      <c r="C24">
        <v>1</v>
      </c>
      <c r="D24" s="29">
        <v>20</v>
      </c>
      <c r="E24" s="29">
        <v>0.0565153</v>
      </c>
      <c r="F24" s="10">
        <v>17779</v>
      </c>
      <c r="G24" s="15">
        <v>2694969</v>
      </c>
      <c r="H24" s="16">
        <f>IFERROR(F24/G24,"")</f>
        <v>0.00659710742498337</v>
      </c>
      <c r="I24" s="29">
        <v>1735</v>
      </c>
      <c r="J24" s="29">
        <v>2596945</v>
      </c>
      <c r="K24" s="29">
        <f t="shared" si="1"/>
        <v>0.000668092701231639</v>
      </c>
      <c r="L24" s="11">
        <v>0</v>
      </c>
      <c r="M24" s="3">
        <f t="shared" si="2"/>
        <v>1</v>
      </c>
      <c r="N24" s="3" t="s">
        <v>19</v>
      </c>
      <c r="O24" s="3"/>
    </row>
    <row r="25" hidden="1" spans="1:18">
      <c r="A25" s="3">
        <v>23</v>
      </c>
      <c r="B25" s="3" t="s">
        <v>46</v>
      </c>
      <c r="C25">
        <v>1</v>
      </c>
      <c r="D25" s="29">
        <v>20</v>
      </c>
      <c r="E25" s="29">
        <v>0.272025</v>
      </c>
      <c r="F25" s="29">
        <v>4649</v>
      </c>
      <c r="G25" s="29">
        <v>739718</v>
      </c>
      <c r="H25" s="29">
        <v>0.006284827</v>
      </c>
      <c r="I25" s="29">
        <v>31</v>
      </c>
      <c r="J25" s="30">
        <v>902033</v>
      </c>
      <c r="K25" s="29">
        <f t="shared" si="1"/>
        <v>3.43668136309869e-5</v>
      </c>
      <c r="L25" s="11">
        <v>0</v>
      </c>
      <c r="M25" s="3">
        <f t="shared" si="2"/>
        <v>1</v>
      </c>
      <c r="N25" s="3" t="s">
        <v>19</v>
      </c>
      <c r="O25" s="3"/>
    </row>
    <row r="26" hidden="1" spans="1:18">
      <c r="A26" s="3">
        <v>24</v>
      </c>
      <c r="B26" s="3" t="s">
        <v>47</v>
      </c>
      <c r="C26">
        <v>1</v>
      </c>
      <c r="D26" s="29">
        <v>20</v>
      </c>
      <c r="E26" s="29">
        <v>0.1</v>
      </c>
      <c r="F26" s="10">
        <v>36154</v>
      </c>
      <c r="G26" s="15">
        <v>5764300</v>
      </c>
      <c r="H26" s="16">
        <f>IFERROR(F26/G26,"")</f>
        <v>0.00627205384868935</v>
      </c>
      <c r="I26" s="29">
        <v>13293</v>
      </c>
      <c r="J26" s="29">
        <v>19183382</v>
      </c>
      <c r="K26" s="29">
        <f t="shared" si="1"/>
        <v>0.000692943507041668</v>
      </c>
      <c r="L26" s="11">
        <v>5</v>
      </c>
      <c r="M26" s="3">
        <f t="shared" si="2"/>
        <v>1</v>
      </c>
      <c r="N26" s="3" t="s">
        <v>19</v>
      </c>
      <c r="O26" s="3">
        <v>30</v>
      </c>
      <c r="P26">
        <v>1500</v>
      </c>
      <c r="Q26">
        <v>2</v>
      </c>
      <c r="R26">
        <v>3.4</v>
      </c>
    </row>
    <row r="27" hidden="1" spans="1:18">
      <c r="A27" s="3">
        <v>25</v>
      </c>
      <c r="B27" s="3" t="s">
        <v>48</v>
      </c>
      <c r="C27">
        <v>1</v>
      </c>
      <c r="D27" s="29">
        <v>20</v>
      </c>
      <c r="E27" s="29">
        <v>0.00511551</v>
      </c>
      <c r="F27" s="10">
        <v>329</v>
      </c>
      <c r="G27" s="15">
        <v>27000</v>
      </c>
      <c r="H27" s="16">
        <f>IFERROR(F27/G27,"")</f>
        <v>0.0121851851851852</v>
      </c>
      <c r="I27" s="29">
        <v>97</v>
      </c>
      <c r="J27" s="29">
        <v>158091</v>
      </c>
      <c r="K27" s="29">
        <f t="shared" si="1"/>
        <v>0.000613570664996742</v>
      </c>
      <c r="L27" s="11">
        <v>5</v>
      </c>
      <c r="M27" s="3">
        <f t="shared" si="2"/>
        <v>1</v>
      </c>
      <c r="N27" s="3" t="s">
        <v>19</v>
      </c>
      <c r="O27" s="3"/>
    </row>
    <row r="28" spans="1:18">
      <c r="A28" s="3">
        <v>26</v>
      </c>
      <c r="B28" s="3" t="s">
        <v>49</v>
      </c>
      <c r="C28">
        <v>1</v>
      </c>
      <c r="D28" s="29">
        <v>20</v>
      </c>
      <c r="E28" s="29">
        <v>0.148374</v>
      </c>
      <c r="F28" s="10">
        <v>252016</v>
      </c>
      <c r="G28" s="15">
        <v>5386505</v>
      </c>
      <c r="H28" s="16">
        <f>IFERROR(F28/G28,"")</f>
        <v>0.0467865526904737</v>
      </c>
      <c r="I28" s="29"/>
      <c r="J28" s="29"/>
      <c r="K28" s="29" t="str">
        <f t="shared" si="1"/>
        <v/>
      </c>
      <c r="L28" s="11">
        <v>5</v>
      </c>
      <c r="M28" s="3" t="str">
        <f t="shared" si="2"/>
        <v>0</v>
      </c>
      <c r="N28" s="3" t="s">
        <v>50</v>
      </c>
      <c r="O28" s="3"/>
    </row>
    <row r="29" hidden="1" spans="1:18">
      <c r="A29" s="3">
        <v>27</v>
      </c>
      <c r="B29" s="3" t="s">
        <v>51</v>
      </c>
      <c r="C29">
        <v>1</v>
      </c>
      <c r="D29" s="29">
        <v>20</v>
      </c>
      <c r="E29" s="29">
        <v>0.083912</v>
      </c>
      <c r="F29" s="29">
        <v>80302</v>
      </c>
      <c r="G29" s="29">
        <v>6091553</v>
      </c>
      <c r="H29" s="29">
        <v>0.013182517</v>
      </c>
      <c r="I29" s="29">
        <v>10922</v>
      </c>
      <c r="J29" s="29">
        <v>3696674</v>
      </c>
      <c r="K29" s="29">
        <f t="shared" si="1"/>
        <v>0.00295454779079789</v>
      </c>
      <c r="L29" s="11">
        <v>0</v>
      </c>
      <c r="M29" s="3">
        <f t="shared" si="2"/>
        <v>1</v>
      </c>
      <c r="N29" s="3" t="s">
        <v>29</v>
      </c>
      <c r="O29" s="3">
        <v>100</v>
      </c>
      <c r="P29">
        <v>10000</v>
      </c>
      <c r="Q29">
        <v>2</v>
      </c>
      <c r="R29">
        <v>20</v>
      </c>
    </row>
    <row r="30" s="1" customFormat="1" hidden="1" spans="1:18">
      <c r="A30" s="11">
        <v>28</v>
      </c>
      <c r="B30" s="11" t="s">
        <v>52</v>
      </c>
      <c r="C30" s="1">
        <v>1</v>
      </c>
      <c r="D30" s="29">
        <v>20</v>
      </c>
      <c r="E30" s="29">
        <v>0.001</v>
      </c>
      <c r="F30" s="29">
        <v>16599</v>
      </c>
      <c r="G30" s="29">
        <v>2795920</v>
      </c>
      <c r="H30" s="29">
        <v>0.005936865</v>
      </c>
      <c r="I30" s="29">
        <v>311</v>
      </c>
      <c r="J30" s="30">
        <v>1775788</v>
      </c>
      <c r="K30" s="29">
        <f t="shared" si="1"/>
        <v>0.000175133518190234</v>
      </c>
      <c r="L30" s="11">
        <v>0</v>
      </c>
      <c r="M30" s="3">
        <f t="shared" si="2"/>
        <v>1</v>
      </c>
      <c r="N30" s="11" t="s">
        <v>19</v>
      </c>
      <c r="O30" s="11"/>
    </row>
    <row r="31" hidden="1" spans="1:18">
      <c r="A31" s="3">
        <v>29</v>
      </c>
      <c r="B31" s="3" t="s">
        <v>53</v>
      </c>
      <c r="C31">
        <v>1</v>
      </c>
      <c r="D31" s="29">
        <v>20</v>
      </c>
      <c r="E31" s="29">
        <v>0.114062</v>
      </c>
      <c r="F31" s="29">
        <v>220</v>
      </c>
      <c r="G31" s="29">
        <v>553555</v>
      </c>
      <c r="H31" s="29">
        <v>0.000397431</v>
      </c>
      <c r="I31" s="29">
        <v>4</v>
      </c>
      <c r="J31" s="29">
        <v>417046</v>
      </c>
      <c r="K31" s="29">
        <f t="shared" si="1"/>
        <v>9.5912681095131e-6</v>
      </c>
      <c r="L31" s="11">
        <v>0</v>
      </c>
      <c r="M31" s="3">
        <f t="shared" si="2"/>
        <v>1</v>
      </c>
      <c r="N31" s="3" t="s">
        <v>19</v>
      </c>
      <c r="O31" s="3"/>
    </row>
    <row r="32" s="26" customFormat="1" hidden="1" spans="1:18">
      <c r="A32" s="15">
        <v>30</v>
      </c>
      <c r="B32" s="15" t="s">
        <v>54</v>
      </c>
      <c r="C32" s="26">
        <v>1</v>
      </c>
      <c r="D32" s="32">
        <v>20</v>
      </c>
      <c r="E32" s="32">
        <v>0.05</v>
      </c>
      <c r="F32" s="18">
        <v>1027</v>
      </c>
      <c r="G32" s="11">
        <v>1123567</v>
      </c>
      <c r="H32" s="19">
        <f>IFERROR(F32/G32,"")</f>
        <v>0.000914053189529418</v>
      </c>
      <c r="I32" s="32">
        <v>832</v>
      </c>
      <c r="J32" s="32">
        <v>1155872</v>
      </c>
      <c r="K32" s="32">
        <f t="shared" si="1"/>
        <v>0.000719802884748484</v>
      </c>
      <c r="L32" s="11">
        <v>0</v>
      </c>
      <c r="M32" s="3">
        <f t="shared" si="2"/>
        <v>1</v>
      </c>
      <c r="N32" s="3" t="s">
        <v>42</v>
      </c>
      <c r="O32" s="3">
        <v>2</v>
      </c>
      <c r="P32" s="26">
        <v>1307</v>
      </c>
      <c r="Q32" s="26">
        <v>2</v>
      </c>
      <c r="R32" s="26">
        <v>1</v>
      </c>
    </row>
    <row r="33" s="26" customFormat="1" hidden="1" spans="1:18">
      <c r="A33" s="15">
        <v>31</v>
      </c>
      <c r="B33" s="15" t="s">
        <v>55</v>
      </c>
      <c r="C33" s="26">
        <v>1</v>
      </c>
      <c r="D33" s="32">
        <v>20</v>
      </c>
      <c r="E33" s="32">
        <v>1.93198</v>
      </c>
      <c r="F33" s="29">
        <v>33600</v>
      </c>
      <c r="G33" s="29">
        <v>5667818</v>
      </c>
      <c r="H33" s="29">
        <v>0.005928207</v>
      </c>
      <c r="I33" s="32">
        <v>4290</v>
      </c>
      <c r="J33" s="32">
        <v>7249357</v>
      </c>
      <c r="K33" s="32">
        <f t="shared" si="1"/>
        <v>0.000591776622395614</v>
      </c>
      <c r="L33" s="11">
        <v>0</v>
      </c>
      <c r="M33" s="3">
        <f t="shared" si="2"/>
        <v>1</v>
      </c>
      <c r="N33" s="3" t="s">
        <v>29</v>
      </c>
      <c r="O33" s="15">
        <v>200</v>
      </c>
      <c r="P33" s="26">
        <v>25000</v>
      </c>
      <c r="Q33" s="26">
        <v>2</v>
      </c>
      <c r="R33" s="26">
        <v>50</v>
      </c>
    </row>
    <row r="34" s="1" customFormat="1" hidden="1" spans="1:18">
      <c r="A34" s="11">
        <v>32</v>
      </c>
      <c r="B34" s="11" t="s">
        <v>56</v>
      </c>
      <c r="C34" s="7">
        <v>1</v>
      </c>
      <c r="D34" s="32">
        <v>20</v>
      </c>
      <c r="E34" s="32">
        <v>0.1</v>
      </c>
      <c r="F34" s="33">
        <v>1107</v>
      </c>
      <c r="G34" s="14">
        <v>52000</v>
      </c>
      <c r="H34" s="16">
        <f>IFERROR(F34/G34,"")</f>
        <v>0.0212884615384615</v>
      </c>
      <c r="I34" s="32">
        <v>0</v>
      </c>
      <c r="J34" s="32">
        <v>78613</v>
      </c>
      <c r="K34" s="32">
        <f t="shared" si="1"/>
        <v>0</v>
      </c>
      <c r="L34" s="11">
        <v>5</v>
      </c>
      <c r="M34" s="3">
        <f t="shared" si="2"/>
        <v>1</v>
      </c>
      <c r="N34" s="11" t="s">
        <v>19</v>
      </c>
      <c r="O34" s="11"/>
    </row>
    <row r="35" s="26" customFormat="1" hidden="1" spans="1:18">
      <c r="A35" s="15">
        <v>33</v>
      </c>
      <c r="B35" s="15" t="s">
        <v>57</v>
      </c>
      <c r="C35" s="26">
        <v>1</v>
      </c>
      <c r="D35" s="32">
        <v>20</v>
      </c>
      <c r="E35" s="32">
        <v>0.1</v>
      </c>
      <c r="F35" s="29">
        <v>6343</v>
      </c>
      <c r="G35" s="29">
        <v>1320115</v>
      </c>
      <c r="H35" s="29">
        <v>0.004804884</v>
      </c>
      <c r="I35" s="32">
        <v>56</v>
      </c>
      <c r="J35" s="32">
        <v>1521246</v>
      </c>
      <c r="K35" s="32">
        <f t="shared" si="1"/>
        <v>3.68119291685894e-5</v>
      </c>
      <c r="L35" s="11">
        <v>0</v>
      </c>
      <c r="M35" s="3">
        <f t="shared" si="2"/>
        <v>1</v>
      </c>
      <c r="N35" s="3" t="s">
        <v>19</v>
      </c>
      <c r="O35" s="15"/>
    </row>
    <row r="36" s="26" customFormat="1" hidden="1" spans="1:18">
      <c r="A36" s="15">
        <v>34</v>
      </c>
      <c r="B36" s="15" t="s">
        <v>58</v>
      </c>
      <c r="C36" s="26">
        <v>1</v>
      </c>
      <c r="D36" s="32">
        <v>20</v>
      </c>
      <c r="E36" s="32">
        <v>0.0027</v>
      </c>
      <c r="F36" s="29">
        <v>3675</v>
      </c>
      <c r="G36" s="29">
        <v>2860039</v>
      </c>
      <c r="H36" s="29">
        <v>0.001284948</v>
      </c>
      <c r="I36" s="32">
        <v>980</v>
      </c>
      <c r="J36" s="32">
        <v>1625618</v>
      </c>
      <c r="K36" s="32">
        <f t="shared" si="1"/>
        <v>0.000602847655476256</v>
      </c>
      <c r="L36" s="11">
        <v>0</v>
      </c>
      <c r="M36" s="3">
        <f t="shared" si="2"/>
        <v>1</v>
      </c>
      <c r="N36" s="11" t="s">
        <v>29</v>
      </c>
      <c r="O36" s="15">
        <v>12.5</v>
      </c>
      <c r="P36" s="26">
        <v>1307</v>
      </c>
      <c r="Q36" s="26">
        <v>2</v>
      </c>
      <c r="R36" s="26">
        <v>1</v>
      </c>
    </row>
    <row r="37" s="26" customFormat="1" hidden="1" spans="1:18">
      <c r="A37" s="15">
        <v>35</v>
      </c>
      <c r="B37" s="15" t="s">
        <v>59</v>
      </c>
      <c r="C37" s="26">
        <v>1</v>
      </c>
      <c r="D37" s="32">
        <v>20</v>
      </c>
      <c r="E37" s="32">
        <v>0.1</v>
      </c>
      <c r="F37" s="29">
        <v>0</v>
      </c>
      <c r="G37" s="29">
        <v>171811</v>
      </c>
      <c r="H37" s="29">
        <v>0</v>
      </c>
      <c r="I37" s="32">
        <v>0</v>
      </c>
      <c r="J37" s="34">
        <v>160202</v>
      </c>
      <c r="K37" s="32">
        <f t="shared" si="1"/>
        <v>0</v>
      </c>
      <c r="L37" s="11">
        <v>0</v>
      </c>
      <c r="M37" s="3">
        <f>IFERROR(IF((I37)/(J37)-1.2*H37&lt;=0,1,0),"0")</f>
        <v>1</v>
      </c>
      <c r="N37" s="3" t="s">
        <v>19</v>
      </c>
      <c r="O37" s="15"/>
    </row>
    <row r="38" s="26" customFormat="1" hidden="1" spans="1:18">
      <c r="A38" s="15">
        <v>36</v>
      </c>
      <c r="B38" s="15" t="s">
        <v>60</v>
      </c>
      <c r="C38" s="26">
        <v>1</v>
      </c>
      <c r="D38" s="32">
        <v>20</v>
      </c>
      <c r="E38" s="32">
        <v>0.000692169</v>
      </c>
      <c r="F38" s="29">
        <v>9347</v>
      </c>
      <c r="G38" s="29">
        <v>3887782</v>
      </c>
      <c r="H38" s="29">
        <v>0.002404199</v>
      </c>
      <c r="I38" s="32">
        <v>99</v>
      </c>
      <c r="J38" s="32">
        <v>1858518</v>
      </c>
      <c r="K38" s="32">
        <f t="shared" si="1"/>
        <v>5.32682492179253e-5</v>
      </c>
      <c r="L38" s="11">
        <v>0</v>
      </c>
      <c r="M38" s="3">
        <f t="shared" si="2"/>
        <v>1</v>
      </c>
      <c r="N38" s="11" t="s">
        <v>29</v>
      </c>
      <c r="O38" s="15">
        <v>2</v>
      </c>
      <c r="P38" s="26">
        <v>1307</v>
      </c>
      <c r="Q38" s="26">
        <v>3</v>
      </c>
      <c r="R38" s="26">
        <v>1</v>
      </c>
    </row>
    <row r="39" s="26" customFormat="1" hidden="1" spans="1:18">
      <c r="A39" s="15">
        <v>37</v>
      </c>
      <c r="B39" s="15" t="s">
        <v>61</v>
      </c>
      <c r="C39" s="26">
        <v>1</v>
      </c>
      <c r="D39" s="32">
        <v>20</v>
      </c>
      <c r="E39" s="32">
        <v>1.16566</v>
      </c>
      <c r="F39" s="29">
        <v>19150</v>
      </c>
      <c r="G39" s="29">
        <v>2720975</v>
      </c>
      <c r="H39" s="29">
        <v>0.007037918</v>
      </c>
      <c r="I39" s="34">
        <v>4986</v>
      </c>
      <c r="J39" s="34">
        <v>3612180</v>
      </c>
      <c r="K39" s="32">
        <f t="shared" si="1"/>
        <v>0.00138032988389283</v>
      </c>
      <c r="L39" s="11">
        <v>0</v>
      </c>
      <c r="M39" s="3">
        <f t="shared" si="2"/>
        <v>1</v>
      </c>
      <c r="N39" s="3" t="s">
        <v>19</v>
      </c>
      <c r="O39" s="15"/>
    </row>
    <row r="40" s="26" customFormat="1" hidden="1" spans="1:18">
      <c r="A40" s="15">
        <v>38</v>
      </c>
      <c r="B40" s="15" t="s">
        <v>62</v>
      </c>
      <c r="C40" s="26">
        <v>1</v>
      </c>
      <c r="D40" s="32">
        <v>20</v>
      </c>
      <c r="E40" s="32">
        <v>0.001</v>
      </c>
      <c r="F40" s="10">
        <v>2606</v>
      </c>
      <c r="G40" s="15">
        <v>103463</v>
      </c>
      <c r="H40" s="16">
        <f>IFERROR(F40/G40,"")</f>
        <v>0.0251877482771619</v>
      </c>
      <c r="I40" s="32">
        <v>1198</v>
      </c>
      <c r="J40" s="32">
        <v>42604</v>
      </c>
      <c r="K40" s="32">
        <f t="shared" si="1"/>
        <v>0.0281194254060652</v>
      </c>
      <c r="L40" s="11">
        <v>0</v>
      </c>
      <c r="M40" s="3">
        <f t="shared" si="2"/>
        <v>1</v>
      </c>
      <c r="N40" s="11" t="s">
        <v>19</v>
      </c>
      <c r="O40" s="15"/>
    </row>
    <row r="41" s="1" customFormat="1" hidden="1" spans="1:18">
      <c r="A41" s="11">
        <v>39</v>
      </c>
      <c r="B41" s="11" t="s">
        <v>63</v>
      </c>
      <c r="C41" s="12">
        <v>1</v>
      </c>
      <c r="D41" s="32">
        <v>20</v>
      </c>
      <c r="E41" s="32">
        <v>0.1</v>
      </c>
      <c r="F41" s="18">
        <v>9</v>
      </c>
      <c r="G41" s="11">
        <v>6598626</v>
      </c>
      <c r="H41" s="16">
        <f>IFERROR(F41/G41,"")</f>
        <v>1.36392030704574e-6</v>
      </c>
      <c r="I41" s="29">
        <v>7</v>
      </c>
      <c r="J41" s="29">
        <v>4973936</v>
      </c>
      <c r="K41" s="32">
        <f t="shared" si="1"/>
        <v>1.40733616194499e-6</v>
      </c>
      <c r="L41" s="11">
        <v>5</v>
      </c>
      <c r="M41" s="3">
        <f t="shared" si="2"/>
        <v>1</v>
      </c>
      <c r="N41" s="3" t="s">
        <v>42</v>
      </c>
      <c r="O41" s="11">
        <v>12.5</v>
      </c>
      <c r="P41" s="1">
        <v>200</v>
      </c>
      <c r="Q41" s="1">
        <v>3</v>
      </c>
      <c r="R41" s="1">
        <v>0.7</v>
      </c>
    </row>
    <row r="42" s="1" customFormat="1" hidden="1" spans="1:18">
      <c r="A42" s="11">
        <v>40</v>
      </c>
      <c r="B42" s="11" t="s">
        <v>64</v>
      </c>
      <c r="C42" s="12">
        <v>1</v>
      </c>
      <c r="D42" s="32">
        <v>20</v>
      </c>
      <c r="E42" s="32">
        <v>0.1</v>
      </c>
      <c r="F42" s="18">
        <v>1474</v>
      </c>
      <c r="G42" s="11">
        <v>1881244</v>
      </c>
      <c r="H42" s="16">
        <f>IFERROR(F42/G42,"")</f>
        <v>0.000783524093631661</v>
      </c>
      <c r="I42" s="32">
        <v>0</v>
      </c>
      <c r="J42" s="32">
        <v>177209</v>
      </c>
      <c r="K42" s="32">
        <f t="shared" si="1"/>
        <v>0</v>
      </c>
      <c r="L42" s="11">
        <v>5</v>
      </c>
      <c r="M42" s="3">
        <f t="shared" si="2"/>
        <v>1</v>
      </c>
      <c r="N42" s="11" t="s">
        <v>19</v>
      </c>
      <c r="O42" s="11"/>
    </row>
  </sheetData>
  <autoFilter xmlns:etc="http://www.wps.cn/officeDocument/2017/etCustomData" ref="B1:N42" etc:filterBottomFollowUsedRange="0">
    <filterColumn colId="11">
      <filters>
        <filter val="0"/>
      </filters>
    </filterColumn>
    <extLst/>
  </autoFilter>
  <mergeCells count="10">
    <mergeCell ref="F1:H1"/>
    <mergeCell ref="I1:K1"/>
    <mergeCell ref="A1:A2"/>
    <mergeCell ref="B1:B2"/>
    <mergeCell ref="C1:C2"/>
    <mergeCell ref="D1:D2"/>
    <mergeCell ref="E1:E2"/>
    <mergeCell ref="L1:L2"/>
    <mergeCell ref="M1:M2"/>
    <mergeCell ref="N1:N2"/>
  </mergeCells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zoomScale="70" zoomScaleNormal="70" topLeftCell="F1" workbookViewId="0">
      <selection activeCell="N11" sqref="N11"/>
    </sheetView>
  </sheetViews>
  <sheetFormatPr defaultColWidth="9" defaultRowHeight="15.6"/>
  <cols>
    <col min="1" max="1" width="9" style="3" customWidth="1"/>
    <col min="2" max="2" width="47.7" style="3" customWidth="1"/>
    <col min="3" max="3" width="20.3" style="4" customWidth="1"/>
    <col min="4" max="4" width="20.3" style="5" customWidth="1"/>
    <col min="5" max="5" width="20.3" style="4" customWidth="1"/>
    <col min="6" max="6" width="20.3" style="6" customWidth="1"/>
    <col min="7" max="7" width="20.3" style="7" customWidth="1"/>
    <col min="8" max="8" width="20.3" style="8" customWidth="1"/>
    <col min="9" max="9" width="24.2" style="7" customWidth="1"/>
    <col min="10" max="10" width="16.6" style="7" customWidth="1"/>
    <col min="11" max="11" width="22.3" style="9" customWidth="1"/>
    <col min="12" max="14" width="22.3" style="7" customWidth="1"/>
    <col min="15" max="15" width="22.3" style="4" customWidth="1"/>
    <col min="16" max="16" width="27.3" style="4" customWidth="1"/>
    <col min="17" max="17" width="12.9" style="4" customWidth="1"/>
    <col min="18" max="18" width="12.3" style="4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0" t="s">
        <v>5</v>
      </c>
      <c r="I1" s="11" t="s">
        <v>65</v>
      </c>
      <c r="J1" s="12"/>
      <c r="K1" s="13"/>
      <c r="L1" s="14" t="s">
        <v>66</v>
      </c>
      <c r="M1" s="14"/>
      <c r="N1" s="14"/>
      <c r="O1" s="5"/>
    </row>
    <row r="2" spans="1:18">
      <c r="D2" s="3"/>
      <c r="E2" s="3"/>
      <c r="F2" s="10" t="s">
        <v>14</v>
      </c>
      <c r="G2" s="15" t="s">
        <v>15</v>
      </c>
      <c r="H2" s="16" t="s">
        <v>16</v>
      </c>
      <c r="I2" s="11" t="s">
        <v>17</v>
      </c>
      <c r="J2" s="11" t="s">
        <v>15</v>
      </c>
      <c r="K2" s="17" t="s">
        <v>16</v>
      </c>
      <c r="L2" s="15" t="s">
        <v>17</v>
      </c>
      <c r="M2" s="15" t="s">
        <v>15</v>
      </c>
      <c r="N2" s="15" t="s">
        <v>16</v>
      </c>
      <c r="O2" s="3" t="s">
        <v>67</v>
      </c>
      <c r="P2" s="3" t="s">
        <v>8</v>
      </c>
    </row>
    <row r="3" spans="1:18">
      <c r="A3" s="3">
        <v>1</v>
      </c>
      <c r="B3" s="3" t="s">
        <v>18</v>
      </c>
      <c r="C3">
        <v>1</v>
      </c>
      <c r="D3" s="3">
        <v>20</v>
      </c>
      <c r="E3" s="3">
        <v>0.1</v>
      </c>
      <c r="F3" s="10">
        <v>7075</v>
      </c>
      <c r="G3" s="15">
        <v>6268307</v>
      </c>
      <c r="H3" s="16">
        <f t="shared" ref="H3:H42" si="0">IFERROR(F3/G3,"")</f>
        <v>0.00112869392006486</v>
      </c>
      <c r="I3" s="11"/>
      <c r="J3" s="11"/>
      <c r="K3" s="17"/>
      <c r="L3" s="15">
        <v>1040</v>
      </c>
      <c r="M3" s="15">
        <v>6273016</v>
      </c>
      <c r="N3" s="15">
        <f>IFERROR(L3/M3,"")</f>
        <v>0.000165789470328148</v>
      </c>
      <c r="O3" s="3">
        <f>IFERROR((I3+L3)/(J3+M3),"")</f>
        <v>0.000165789470328148</v>
      </c>
      <c r="P3" s="3">
        <f>IFERROR(IF((I3+L3)/(J3+M3)-1.2*H3&lt;0,1,0),"")</f>
        <v>1</v>
      </c>
    </row>
    <row r="4" spans="1:18">
      <c r="A4" s="3">
        <v>2</v>
      </c>
      <c r="B4" s="3" t="s">
        <v>20</v>
      </c>
      <c r="C4">
        <v>1</v>
      </c>
      <c r="D4" s="3">
        <v>20</v>
      </c>
      <c r="E4" s="3">
        <v>0.1</v>
      </c>
      <c r="F4" s="10">
        <v>736</v>
      </c>
      <c r="G4" s="15">
        <v>1460888</v>
      </c>
      <c r="H4" s="16">
        <f t="shared" si="0"/>
        <v>0.000503803166293378</v>
      </c>
      <c r="I4" s="11"/>
      <c r="J4" s="11"/>
      <c r="K4" s="17"/>
      <c r="L4" s="15"/>
      <c r="M4" s="15"/>
      <c r="N4" s="15" t="str">
        <f t="shared" ref="N4:N47" si="1">IFERROR(L4/M4,"")</f>
        <v/>
      </c>
      <c r="O4" s="3"/>
      <c r="P4" s="3" t="str">
        <f t="shared" ref="P4:P40" si="2">IFERROR(IF((I4+L4)/(J4+M4)-1.2*H4&lt;0,1,0),"")</f>
        <v/>
      </c>
      <c r="Q4" s="3"/>
      <c r="R4" s="3"/>
    </row>
    <row r="5" spans="1:18">
      <c r="A5" s="3">
        <v>3</v>
      </c>
      <c r="B5" s="3" t="s">
        <v>21</v>
      </c>
      <c r="C5">
        <v>1</v>
      </c>
      <c r="D5" s="3">
        <v>20</v>
      </c>
      <c r="E5" s="3">
        <v>0.1</v>
      </c>
      <c r="F5" s="10">
        <v>2162</v>
      </c>
      <c r="G5" s="15">
        <v>948946</v>
      </c>
      <c r="H5" s="16">
        <f t="shared" si="0"/>
        <v>0.00227831720666929</v>
      </c>
      <c r="I5" s="11"/>
      <c r="J5" s="11"/>
      <c r="K5" s="17"/>
      <c r="L5" s="15"/>
      <c r="M5" s="15"/>
      <c r="N5" s="15" t="str">
        <f t="shared" si="1"/>
        <v/>
      </c>
      <c r="O5" s="3"/>
      <c r="P5" s="3" t="str">
        <f t="shared" si="2"/>
        <v/>
      </c>
      <c r="Q5" s="3"/>
      <c r="R5" s="3"/>
    </row>
    <row r="6" spans="1:18">
      <c r="A6" s="3">
        <v>4</v>
      </c>
      <c r="B6" s="3" t="s">
        <v>22</v>
      </c>
      <c r="C6">
        <v>1</v>
      </c>
      <c r="D6" s="3">
        <v>20</v>
      </c>
      <c r="E6" s="3">
        <v>0.1</v>
      </c>
      <c r="F6" s="10">
        <v>15504</v>
      </c>
      <c r="G6" s="15">
        <v>14998236</v>
      </c>
      <c r="H6" s="16">
        <f t="shared" si="0"/>
        <v>0.00103372156565612</v>
      </c>
      <c r="I6" s="11"/>
      <c r="J6" s="11"/>
      <c r="K6" s="17"/>
      <c r="L6" s="15"/>
      <c r="M6" s="15"/>
      <c r="N6" s="15" t="str">
        <f t="shared" si="1"/>
        <v/>
      </c>
      <c r="O6" s="3"/>
      <c r="P6" s="3" t="str">
        <f t="shared" si="2"/>
        <v/>
      </c>
      <c r="Q6" s="3"/>
      <c r="R6" s="3"/>
    </row>
    <row r="7" spans="1:18">
      <c r="A7" s="3">
        <v>5</v>
      </c>
      <c r="B7" s="3" t="s">
        <v>23</v>
      </c>
      <c r="C7">
        <v>1</v>
      </c>
      <c r="D7" s="3"/>
      <c r="E7" s="3"/>
      <c r="F7" s="10">
        <v>24952</v>
      </c>
      <c r="G7" s="15">
        <v>5419855</v>
      </c>
      <c r="H7" s="16">
        <f t="shared" si="0"/>
        <v>0.00460381320164469</v>
      </c>
      <c r="I7" s="11"/>
      <c r="J7" s="11"/>
      <c r="K7" s="17"/>
      <c r="L7" s="15"/>
      <c r="M7" s="15"/>
      <c r="N7" s="15" t="str">
        <f t="shared" si="1"/>
        <v/>
      </c>
      <c r="O7" s="3"/>
      <c r="P7" s="3" t="str">
        <f t="shared" si="2"/>
        <v/>
      </c>
      <c r="Q7" s="3"/>
      <c r="R7" s="3"/>
    </row>
    <row r="8" spans="1:18">
      <c r="A8" s="3">
        <v>6</v>
      </c>
      <c r="B8" s="3" t="s">
        <v>25</v>
      </c>
      <c r="C8">
        <v>1</v>
      </c>
      <c r="D8" s="3"/>
      <c r="E8" s="3"/>
      <c r="F8" s="10">
        <v>1372</v>
      </c>
      <c r="G8" s="15">
        <v>8463954</v>
      </c>
      <c r="H8" s="16">
        <f t="shared" si="0"/>
        <v>0.000162099179650551</v>
      </c>
      <c r="I8" s="11"/>
      <c r="J8" s="11"/>
      <c r="K8" s="17"/>
      <c r="L8" s="15"/>
      <c r="M8" s="15"/>
      <c r="N8" s="15" t="str">
        <f t="shared" si="1"/>
        <v/>
      </c>
      <c r="O8" s="3"/>
      <c r="P8" s="3" t="str">
        <f t="shared" si="2"/>
        <v/>
      </c>
      <c r="Q8" s="3"/>
      <c r="R8" s="3"/>
    </row>
    <row r="9" spans="1:18">
      <c r="A9" s="3">
        <v>7</v>
      </c>
      <c r="B9" s="3" t="s">
        <v>27</v>
      </c>
      <c r="C9">
        <v>1</v>
      </c>
      <c r="D9" s="3"/>
      <c r="E9" s="3"/>
      <c r="F9" s="10">
        <v>4123</v>
      </c>
      <c r="G9" s="15">
        <v>1260552</v>
      </c>
      <c r="H9" s="16">
        <f t="shared" si="0"/>
        <v>0.00327078930500289</v>
      </c>
      <c r="I9" s="11"/>
      <c r="J9" s="11"/>
      <c r="K9" s="17"/>
      <c r="L9" s="15"/>
      <c r="M9" s="15"/>
      <c r="N9" s="15" t="str">
        <f t="shared" si="1"/>
        <v/>
      </c>
      <c r="O9" s="3"/>
      <c r="P9" s="3" t="str">
        <f t="shared" si="2"/>
        <v/>
      </c>
      <c r="Q9" s="3"/>
      <c r="R9" s="3"/>
    </row>
    <row r="10" spans="1:18">
      <c r="A10" s="3">
        <v>8</v>
      </c>
      <c r="B10" s="3" t="s">
        <v>28</v>
      </c>
      <c r="C10">
        <v>1</v>
      </c>
      <c r="D10" s="3"/>
      <c r="E10" s="3"/>
      <c r="F10" s="10">
        <v>168848</v>
      </c>
      <c r="G10" s="15">
        <v>25932714</v>
      </c>
      <c r="H10" s="16">
        <f t="shared" si="0"/>
        <v>0.00651100382320184</v>
      </c>
      <c r="I10" s="11"/>
      <c r="J10" s="11"/>
      <c r="K10" s="17"/>
      <c r="L10" s="15"/>
      <c r="M10" s="15"/>
      <c r="N10" s="15" t="str">
        <f t="shared" si="1"/>
        <v/>
      </c>
      <c r="O10" s="3"/>
      <c r="P10" s="3" t="str">
        <f t="shared" si="2"/>
        <v/>
      </c>
      <c r="Q10" s="3"/>
      <c r="R10" s="3"/>
    </row>
    <row r="11" spans="1:18">
      <c r="A11" s="3">
        <v>9</v>
      </c>
      <c r="B11" s="3" t="s">
        <v>30</v>
      </c>
      <c r="C11">
        <v>1</v>
      </c>
      <c r="D11" s="3"/>
      <c r="E11" s="3"/>
      <c r="F11" s="10">
        <v>958029</v>
      </c>
      <c r="G11" s="15">
        <v>50665274</v>
      </c>
      <c r="H11" s="16">
        <f t="shared" si="0"/>
        <v>0.0189089868535992</v>
      </c>
      <c r="I11" s="11"/>
      <c r="J11" s="11"/>
      <c r="K11" s="17"/>
      <c r="L11" s="15"/>
      <c r="M11" s="15"/>
      <c r="N11" s="15" t="str">
        <f t="shared" si="1"/>
        <v/>
      </c>
      <c r="O11" s="3"/>
      <c r="P11" s="3" t="str">
        <f t="shared" si="2"/>
        <v/>
      </c>
      <c r="Q11" s="3"/>
      <c r="R11" s="3"/>
    </row>
    <row r="12" spans="1:18">
      <c r="A12" s="3">
        <v>10</v>
      </c>
      <c r="B12" s="3" t="s">
        <v>32</v>
      </c>
      <c r="C12">
        <v>1</v>
      </c>
      <c r="D12" s="3"/>
      <c r="E12" s="3"/>
      <c r="F12" s="10">
        <v>120</v>
      </c>
      <c r="G12" s="15">
        <v>2028200</v>
      </c>
      <c r="H12" s="16">
        <f t="shared" si="0"/>
        <v>5.91657627452914e-5</v>
      </c>
      <c r="I12" s="11"/>
      <c r="J12" s="11"/>
      <c r="K12" s="17"/>
      <c r="L12" s="15"/>
      <c r="M12" s="15"/>
      <c r="N12" s="15" t="str">
        <f t="shared" si="1"/>
        <v/>
      </c>
      <c r="O12" s="3"/>
      <c r="P12" s="3" t="str">
        <f t="shared" si="2"/>
        <v/>
      </c>
      <c r="Q12" s="3"/>
      <c r="R12" s="3"/>
    </row>
    <row r="13" spans="1:18">
      <c r="A13" s="3">
        <v>11</v>
      </c>
      <c r="B13" s="3" t="s">
        <v>33</v>
      </c>
      <c r="C13">
        <v>1</v>
      </c>
      <c r="D13" s="3"/>
      <c r="E13" s="3"/>
      <c r="F13" s="10">
        <v>4</v>
      </c>
      <c r="G13" s="15">
        <v>11565845</v>
      </c>
      <c r="H13" s="16">
        <f t="shared" si="0"/>
        <v>3.45845893663628e-7</v>
      </c>
      <c r="I13" s="11"/>
      <c r="J13" s="11"/>
      <c r="K13" s="17"/>
      <c r="L13" s="15"/>
      <c r="M13" s="15"/>
      <c r="N13" s="15" t="str">
        <f t="shared" si="1"/>
        <v/>
      </c>
      <c r="O13" s="3"/>
      <c r="P13" s="3" t="str">
        <f t="shared" si="2"/>
        <v/>
      </c>
      <c r="Q13" s="3"/>
      <c r="R13" s="3"/>
    </row>
    <row r="14" spans="1:18">
      <c r="A14" s="3">
        <v>12</v>
      </c>
      <c r="B14" s="3" t="s">
        <v>34</v>
      </c>
      <c r="C14">
        <v>1</v>
      </c>
      <c r="D14" s="3"/>
      <c r="E14" s="3"/>
      <c r="F14" s="10">
        <v>1377</v>
      </c>
      <c r="G14" s="15">
        <v>760917</v>
      </c>
      <c r="H14" s="16">
        <f t="shared" si="0"/>
        <v>0.00180965860928327</v>
      </c>
      <c r="I14" s="11"/>
      <c r="J14" s="11"/>
      <c r="K14" s="17"/>
      <c r="L14" s="15"/>
      <c r="M14" s="15"/>
      <c r="N14" s="15" t="str">
        <f t="shared" si="1"/>
        <v/>
      </c>
      <c r="O14" s="3"/>
      <c r="P14" s="3" t="str">
        <f t="shared" si="2"/>
        <v/>
      </c>
      <c r="Q14" s="3"/>
      <c r="R14" s="3"/>
    </row>
    <row r="15" spans="1:18">
      <c r="A15" s="3">
        <v>13</v>
      </c>
      <c r="B15" s="3" t="s">
        <v>35</v>
      </c>
      <c r="C15">
        <v>1</v>
      </c>
      <c r="D15" s="3"/>
      <c r="E15" s="3"/>
      <c r="F15" s="10">
        <v>328</v>
      </c>
      <c r="G15" s="15">
        <v>315660</v>
      </c>
      <c r="H15" s="16">
        <f t="shared" si="0"/>
        <v>0.00103909269467148</v>
      </c>
      <c r="I15" s="11"/>
      <c r="J15" s="11"/>
      <c r="K15" s="17"/>
      <c r="L15" s="15"/>
      <c r="M15" s="15"/>
      <c r="N15" s="15" t="str">
        <f t="shared" si="1"/>
        <v/>
      </c>
      <c r="O15" s="3"/>
      <c r="P15" s="3" t="str">
        <f t="shared" si="2"/>
        <v/>
      </c>
      <c r="Q15" s="3"/>
      <c r="R15" s="3"/>
    </row>
    <row r="16" spans="1:18">
      <c r="A16" s="3">
        <v>14</v>
      </c>
      <c r="B16" s="3" t="s">
        <v>36</v>
      </c>
      <c r="C16">
        <v>1</v>
      </c>
      <c r="D16" s="3"/>
      <c r="E16" s="3"/>
      <c r="F16" s="10">
        <v>445</v>
      </c>
      <c r="G16" s="15">
        <v>286488</v>
      </c>
      <c r="H16" s="16">
        <f t="shared" si="0"/>
        <v>0.00155329368071263</v>
      </c>
      <c r="I16" s="11"/>
      <c r="J16" s="11"/>
      <c r="K16" s="17"/>
      <c r="L16" s="15"/>
      <c r="M16" s="15"/>
      <c r="N16" s="15" t="str">
        <f t="shared" si="1"/>
        <v/>
      </c>
      <c r="O16" s="3"/>
      <c r="P16" s="3" t="str">
        <f t="shared" si="2"/>
        <v/>
      </c>
      <c r="Q16" s="3"/>
      <c r="R16" s="3"/>
    </row>
    <row r="17" spans="1:18">
      <c r="A17" s="3">
        <v>15</v>
      </c>
      <c r="B17" s="3" t="s">
        <v>37</v>
      </c>
      <c r="C17">
        <v>1</v>
      </c>
      <c r="D17" s="3"/>
      <c r="E17" s="3"/>
      <c r="F17" s="10">
        <v>1041</v>
      </c>
      <c r="G17" s="15">
        <v>6198072</v>
      </c>
      <c r="H17" s="16">
        <f t="shared" si="0"/>
        <v>0.000167955454534894</v>
      </c>
      <c r="I17" s="11"/>
      <c r="J17" s="11"/>
      <c r="K17" s="17"/>
      <c r="L17" s="15"/>
      <c r="M17" s="15"/>
      <c r="N17" s="15" t="str">
        <f t="shared" si="1"/>
        <v/>
      </c>
      <c r="O17" s="3"/>
      <c r="P17" s="3" t="str">
        <f t="shared" si="2"/>
        <v/>
      </c>
      <c r="Q17" s="3"/>
      <c r="R17" s="3"/>
    </row>
    <row r="18" spans="1:18">
      <c r="A18" s="3">
        <v>16</v>
      </c>
      <c r="B18" s="3" t="s">
        <v>38</v>
      </c>
      <c r="C18">
        <v>1</v>
      </c>
      <c r="D18" s="3"/>
      <c r="E18" s="3"/>
      <c r="F18" s="10">
        <v>2005</v>
      </c>
      <c r="G18" s="15">
        <v>235500</v>
      </c>
      <c r="H18" s="16">
        <f t="shared" si="0"/>
        <v>0.00851380042462845</v>
      </c>
      <c r="I18" s="11"/>
      <c r="J18" s="11"/>
      <c r="K18" s="17"/>
      <c r="L18" s="15"/>
      <c r="M18" s="15"/>
      <c r="N18" s="15" t="str">
        <f t="shared" si="1"/>
        <v/>
      </c>
      <c r="O18" s="3"/>
      <c r="P18" s="3" t="str">
        <f t="shared" si="2"/>
        <v/>
      </c>
      <c r="Q18" s="3"/>
      <c r="R18" s="3"/>
    </row>
    <row r="19" spans="1:18">
      <c r="A19" s="3">
        <v>17</v>
      </c>
      <c r="B19" s="3" t="s">
        <v>39</v>
      </c>
      <c r="C19">
        <v>1</v>
      </c>
      <c r="D19" s="3"/>
      <c r="E19" s="3"/>
      <c r="F19" s="10">
        <v>352681</v>
      </c>
      <c r="G19" s="15">
        <v>8849053</v>
      </c>
      <c r="H19" s="16">
        <f t="shared" si="0"/>
        <v>0.0398552251862431</v>
      </c>
      <c r="I19" s="11"/>
      <c r="J19" s="11"/>
      <c r="K19" s="17"/>
      <c r="L19" s="15"/>
      <c r="M19" s="15"/>
      <c r="N19" s="15" t="str">
        <f t="shared" si="1"/>
        <v/>
      </c>
      <c r="O19" s="3"/>
      <c r="P19" s="3" t="str">
        <f t="shared" si="2"/>
        <v/>
      </c>
      <c r="Q19" s="3"/>
      <c r="R19" s="3"/>
    </row>
    <row r="20" spans="1:18">
      <c r="A20" s="3">
        <v>18</v>
      </c>
      <c r="B20" s="3" t="s">
        <v>40</v>
      </c>
      <c r="C20">
        <v>1</v>
      </c>
      <c r="D20" s="3"/>
      <c r="E20" s="3"/>
      <c r="F20" s="10">
        <v>4472</v>
      </c>
      <c r="G20" s="15">
        <v>3657621</v>
      </c>
      <c r="H20" s="16">
        <f t="shared" si="0"/>
        <v>0.00122265264771828</v>
      </c>
      <c r="I20" s="11"/>
      <c r="J20" s="11"/>
      <c r="K20" s="17"/>
      <c r="L20" s="15"/>
      <c r="M20" s="15"/>
      <c r="N20" s="15" t="str">
        <f t="shared" si="1"/>
        <v/>
      </c>
      <c r="O20" s="3"/>
      <c r="P20" s="3" t="str">
        <f t="shared" si="2"/>
        <v/>
      </c>
      <c r="Q20" s="3"/>
      <c r="R20" s="3"/>
    </row>
    <row r="21" spans="1:18">
      <c r="A21" s="3">
        <v>19</v>
      </c>
      <c r="B21" s="3" t="s">
        <v>41</v>
      </c>
      <c r="C21">
        <v>1</v>
      </c>
      <c r="D21" s="3"/>
      <c r="E21" s="3"/>
      <c r="F21" s="10">
        <v>17983</v>
      </c>
      <c r="G21" s="15">
        <v>9849894</v>
      </c>
      <c r="H21" s="16">
        <f t="shared" si="0"/>
        <v>0.00182570492636774</v>
      </c>
      <c r="I21" s="11"/>
      <c r="J21" s="11"/>
      <c r="K21" s="17"/>
      <c r="L21" s="15"/>
      <c r="M21" s="15"/>
      <c r="N21" s="15" t="str">
        <f t="shared" si="1"/>
        <v/>
      </c>
      <c r="O21" s="3"/>
      <c r="P21" s="3" t="str">
        <f t="shared" si="2"/>
        <v/>
      </c>
      <c r="Q21" s="3"/>
      <c r="R21" s="3"/>
    </row>
    <row r="22" spans="1:18">
      <c r="A22" s="3">
        <v>20</v>
      </c>
      <c r="B22" s="3" t="s">
        <v>43</v>
      </c>
      <c r="C22">
        <v>1</v>
      </c>
      <c r="D22" s="3"/>
      <c r="E22" s="3"/>
      <c r="F22" s="10">
        <v>23740</v>
      </c>
      <c r="G22" s="15">
        <v>7151622</v>
      </c>
      <c r="H22" s="16">
        <f t="shared" si="0"/>
        <v>0.00331952667520739</v>
      </c>
      <c r="I22" s="11"/>
      <c r="J22" s="11"/>
      <c r="K22" s="17"/>
      <c r="L22" s="15"/>
      <c r="M22" s="15"/>
      <c r="N22" s="15" t="str">
        <f t="shared" si="1"/>
        <v/>
      </c>
      <c r="O22" s="3"/>
      <c r="P22" s="3" t="str">
        <f t="shared" si="2"/>
        <v/>
      </c>
      <c r="Q22" s="3"/>
      <c r="R22" s="3"/>
    </row>
    <row r="23" spans="1:18">
      <c r="A23" s="3">
        <v>21</v>
      </c>
      <c r="B23" s="3" t="s">
        <v>68</v>
      </c>
      <c r="C23">
        <v>1</v>
      </c>
      <c r="D23" s="3"/>
      <c r="E23" s="3"/>
      <c r="F23" s="10">
        <v>21889</v>
      </c>
      <c r="G23" s="15">
        <v>14210014</v>
      </c>
      <c r="H23" s="16">
        <f t="shared" si="0"/>
        <v>0.0015403925710418</v>
      </c>
      <c r="I23" s="11"/>
      <c r="J23" s="11"/>
      <c r="K23" s="17"/>
      <c r="L23" s="15"/>
      <c r="M23" s="15"/>
      <c r="N23" s="15" t="str">
        <f t="shared" si="1"/>
        <v/>
      </c>
      <c r="O23" s="3"/>
      <c r="P23" s="3" t="str">
        <f t="shared" si="2"/>
        <v/>
      </c>
      <c r="Q23" s="3"/>
      <c r="R23" s="3"/>
    </row>
    <row r="24" spans="1:18">
      <c r="A24" s="3">
        <v>22</v>
      </c>
      <c r="B24" s="3" t="s">
        <v>68</v>
      </c>
      <c r="C24">
        <v>1</v>
      </c>
      <c r="D24" s="3"/>
      <c r="E24" s="3"/>
      <c r="F24" s="10">
        <v>17779</v>
      </c>
      <c r="G24" s="15">
        <v>2694969</v>
      </c>
      <c r="H24" s="16">
        <f t="shared" si="0"/>
        <v>0.00659710742498337</v>
      </c>
      <c r="I24" s="11"/>
      <c r="J24" s="11"/>
      <c r="K24" s="17"/>
      <c r="L24" s="15"/>
      <c r="M24" s="15"/>
      <c r="N24" s="15" t="str">
        <f t="shared" si="1"/>
        <v/>
      </c>
      <c r="O24" s="3"/>
      <c r="P24" s="3" t="str">
        <f t="shared" si="2"/>
        <v/>
      </c>
      <c r="Q24" s="3"/>
      <c r="R24" s="3"/>
    </row>
    <row r="25" spans="1:18">
      <c r="A25" s="3">
        <v>23</v>
      </c>
      <c r="B25" s="3" t="s">
        <v>46</v>
      </c>
      <c r="C25">
        <v>1</v>
      </c>
      <c r="D25" s="3"/>
      <c r="E25" s="3"/>
      <c r="F25" s="10">
        <v>4320</v>
      </c>
      <c r="G25" s="15">
        <v>612155</v>
      </c>
      <c r="H25" s="16">
        <f t="shared" si="0"/>
        <v>0.0070570362081499</v>
      </c>
      <c r="I25" s="11"/>
      <c r="J25" s="11"/>
      <c r="K25" s="17"/>
      <c r="L25" s="15"/>
      <c r="M25" s="15"/>
      <c r="N25" s="15" t="str">
        <f t="shared" si="1"/>
        <v/>
      </c>
      <c r="O25" s="3"/>
      <c r="P25" s="3" t="str">
        <f t="shared" si="2"/>
        <v/>
      </c>
      <c r="Q25" s="3"/>
      <c r="R25" s="3"/>
    </row>
    <row r="26" spans="1:18">
      <c r="A26" s="3">
        <v>24</v>
      </c>
      <c r="B26" s="3" t="s">
        <v>47</v>
      </c>
      <c r="C26">
        <v>1</v>
      </c>
      <c r="D26" s="3"/>
      <c r="E26" s="3"/>
      <c r="F26" s="10">
        <v>36154</v>
      </c>
      <c r="G26" s="15">
        <v>5764300</v>
      </c>
      <c r="H26" s="16">
        <f t="shared" si="0"/>
        <v>0.00627205384868935</v>
      </c>
      <c r="I26" s="11"/>
      <c r="J26" s="11"/>
      <c r="K26" s="17"/>
      <c r="L26" s="15"/>
      <c r="M26" s="15"/>
      <c r="N26" s="15" t="str">
        <f t="shared" si="1"/>
        <v/>
      </c>
      <c r="O26" s="3"/>
      <c r="P26" s="3" t="str">
        <f t="shared" si="2"/>
        <v/>
      </c>
      <c r="Q26" s="3"/>
      <c r="R26" s="3"/>
    </row>
    <row r="27" spans="1:18">
      <c r="A27" s="3">
        <v>25</v>
      </c>
      <c r="B27" s="3" t="s">
        <v>48</v>
      </c>
      <c r="C27">
        <v>1</v>
      </c>
      <c r="D27" s="3"/>
      <c r="E27" s="3"/>
      <c r="F27" s="10">
        <v>109070</v>
      </c>
      <c r="G27" s="15">
        <v>8945008</v>
      </c>
      <c r="H27" s="16">
        <f t="shared" si="0"/>
        <v>0.0121933932311743</v>
      </c>
      <c r="I27" s="11"/>
      <c r="J27" s="11"/>
      <c r="K27" s="17"/>
      <c r="L27" s="15"/>
      <c r="M27" s="15"/>
      <c r="N27" s="15" t="str">
        <f t="shared" si="1"/>
        <v/>
      </c>
      <c r="O27" s="3"/>
      <c r="P27" s="3" t="str">
        <f t="shared" si="2"/>
        <v/>
      </c>
      <c r="Q27" s="3"/>
      <c r="R27" s="3"/>
    </row>
    <row r="28" spans="1:18">
      <c r="A28" s="3">
        <v>26</v>
      </c>
      <c r="B28" s="3" t="s">
        <v>49</v>
      </c>
      <c r="C28">
        <v>1</v>
      </c>
      <c r="D28" s="3"/>
      <c r="E28" s="3"/>
      <c r="F28" s="10">
        <v>252016</v>
      </c>
      <c r="G28" s="15">
        <v>5386505</v>
      </c>
      <c r="H28" s="16">
        <f t="shared" si="0"/>
        <v>0.0467865526904737</v>
      </c>
      <c r="I28" s="11"/>
      <c r="J28" s="11"/>
      <c r="K28" s="17"/>
      <c r="L28" s="15"/>
      <c r="M28" s="15"/>
      <c r="N28" s="15" t="str">
        <f t="shared" si="1"/>
        <v/>
      </c>
      <c r="O28" s="3"/>
      <c r="P28" s="3" t="str">
        <f t="shared" si="2"/>
        <v/>
      </c>
      <c r="Q28" s="3"/>
      <c r="R28" s="3"/>
    </row>
    <row r="29" spans="1:18">
      <c r="A29" s="3">
        <v>27</v>
      </c>
      <c r="B29" s="3" t="s">
        <v>51</v>
      </c>
      <c r="C29">
        <v>1</v>
      </c>
      <c r="D29" s="3"/>
      <c r="E29" s="3"/>
      <c r="F29" s="10">
        <v>78729</v>
      </c>
      <c r="G29" s="15">
        <v>6200373</v>
      </c>
      <c r="H29" s="16">
        <f t="shared" si="0"/>
        <v>0.0126974619107592</v>
      </c>
      <c r="I29" s="11"/>
      <c r="J29" s="11"/>
      <c r="K29" s="17"/>
      <c r="L29" s="15"/>
      <c r="M29" s="15"/>
      <c r="N29" s="15" t="str">
        <f t="shared" si="1"/>
        <v/>
      </c>
      <c r="O29" s="3"/>
      <c r="P29" s="3" t="str">
        <f t="shared" si="2"/>
        <v/>
      </c>
      <c r="Q29" s="3"/>
      <c r="R29" s="3"/>
    </row>
    <row r="30" s="1" customFormat="1" spans="1:18">
      <c r="A30" s="11">
        <v>28</v>
      </c>
      <c r="B30" s="11" t="s">
        <v>52</v>
      </c>
      <c r="C30" s="1">
        <v>1</v>
      </c>
      <c r="D30" s="11"/>
      <c r="E30" s="11"/>
      <c r="F30" s="18">
        <v>97</v>
      </c>
      <c r="G30" s="11">
        <v>1509261</v>
      </c>
      <c r="H30" s="19">
        <f t="shared" si="0"/>
        <v>6.4269864523101e-5</v>
      </c>
      <c r="I30" s="11"/>
      <c r="J30" s="11"/>
      <c r="K30" s="17"/>
      <c r="L30" s="11"/>
      <c r="M30" s="11"/>
      <c r="N30" s="11" t="str">
        <f t="shared" si="1"/>
        <v/>
      </c>
      <c r="O30" s="11"/>
      <c r="P30" s="11" t="str">
        <f t="shared" si="2"/>
        <v/>
      </c>
      <c r="Q30" s="11"/>
      <c r="R30" s="11"/>
    </row>
    <row r="31" spans="1:18">
      <c r="A31" s="3">
        <v>29</v>
      </c>
      <c r="B31" s="3" t="s">
        <v>53</v>
      </c>
      <c r="C31">
        <v>1</v>
      </c>
      <c r="D31" s="3"/>
      <c r="E31" s="3"/>
      <c r="F31" s="10">
        <v>402</v>
      </c>
      <c r="G31" s="15">
        <v>570415</v>
      </c>
      <c r="H31" s="16">
        <f t="shared" si="0"/>
        <v>0.0007047500504019</v>
      </c>
      <c r="I31" s="11"/>
      <c r="J31" s="11"/>
      <c r="K31" s="17"/>
      <c r="L31" s="15"/>
      <c r="M31" s="15"/>
      <c r="N31" s="15" t="str">
        <f t="shared" si="1"/>
        <v/>
      </c>
      <c r="O31" s="3"/>
      <c r="P31" s="3" t="str">
        <f t="shared" si="2"/>
        <v/>
      </c>
      <c r="Q31" s="3"/>
      <c r="R31" s="3"/>
    </row>
    <row r="32" spans="1:18">
      <c r="A32" s="3">
        <v>30</v>
      </c>
      <c r="B32" s="3" t="s">
        <v>54</v>
      </c>
      <c r="C32"/>
      <c r="D32" s="3"/>
      <c r="E32" s="3"/>
      <c r="F32" s="10"/>
      <c r="G32" s="15"/>
      <c r="H32" s="16" t="str">
        <f t="shared" si="0"/>
        <v/>
      </c>
      <c r="I32" s="11"/>
      <c r="J32" s="11"/>
      <c r="K32" s="17"/>
      <c r="L32" s="15"/>
      <c r="M32" s="15"/>
      <c r="N32" s="15" t="str">
        <f t="shared" si="1"/>
        <v/>
      </c>
      <c r="O32" s="3"/>
      <c r="P32" s="3" t="str">
        <f t="shared" si="2"/>
        <v/>
      </c>
      <c r="Q32" s="3"/>
      <c r="R32" s="3"/>
    </row>
    <row r="33" spans="1:18">
      <c r="A33" s="3">
        <v>31</v>
      </c>
      <c r="B33" s="3" t="s">
        <v>55</v>
      </c>
      <c r="C33">
        <v>1</v>
      </c>
      <c r="D33" s="3"/>
      <c r="E33" s="3"/>
      <c r="F33" s="10">
        <v>80074</v>
      </c>
      <c r="G33" s="15">
        <v>7783826</v>
      </c>
      <c r="H33" s="16">
        <f t="shared" si="0"/>
        <v>0.0102872289282931</v>
      </c>
      <c r="I33" s="11"/>
      <c r="J33" s="11"/>
      <c r="K33" s="17"/>
      <c r="L33" s="15"/>
      <c r="M33" s="15"/>
      <c r="N33" s="15" t="str">
        <f t="shared" si="1"/>
        <v/>
      </c>
      <c r="O33" s="3"/>
      <c r="P33" s="3" t="str">
        <f t="shared" si="2"/>
        <v/>
      </c>
      <c r="Q33" s="3"/>
      <c r="R33" s="3"/>
    </row>
    <row r="34" s="2" customFormat="1" spans="1:18">
      <c r="A34" s="20">
        <v>32</v>
      </c>
      <c r="B34" s="20" t="s">
        <v>56</v>
      </c>
      <c r="C34" s="2"/>
      <c r="D34" s="20"/>
      <c r="E34" s="20"/>
      <c r="F34" s="21"/>
      <c r="G34" s="20"/>
      <c r="H34" s="22" t="str">
        <f t="shared" si="0"/>
        <v/>
      </c>
      <c r="I34" s="20"/>
      <c r="J34" s="20"/>
      <c r="K34" s="23"/>
      <c r="L34" s="20"/>
      <c r="M34" s="20"/>
      <c r="N34" s="20" t="str">
        <f t="shared" si="1"/>
        <v/>
      </c>
      <c r="O34" s="20"/>
      <c r="P34" s="20" t="str">
        <f t="shared" si="2"/>
        <v/>
      </c>
      <c r="Q34" s="20"/>
      <c r="R34" s="20"/>
    </row>
    <row r="35" spans="1:18">
      <c r="A35" s="3">
        <v>33</v>
      </c>
      <c r="B35" s="3" t="s">
        <v>57</v>
      </c>
      <c r="C35">
        <v>1</v>
      </c>
      <c r="D35" s="3"/>
      <c r="E35" s="3"/>
      <c r="F35" s="10">
        <v>5611</v>
      </c>
      <c r="G35" s="15">
        <v>1177397</v>
      </c>
      <c r="H35" s="16">
        <f t="shared" si="0"/>
        <v>0.00476559733038219</v>
      </c>
      <c r="I35" s="11"/>
      <c r="J35" s="11"/>
      <c r="K35" s="17"/>
      <c r="L35" s="15"/>
      <c r="M35" s="15"/>
      <c r="N35" s="15" t="str">
        <f t="shared" si="1"/>
        <v/>
      </c>
      <c r="O35" s="3"/>
      <c r="P35" s="3" t="str">
        <f t="shared" si="2"/>
        <v/>
      </c>
      <c r="Q35" s="3"/>
      <c r="R35" s="3"/>
    </row>
    <row r="36" spans="1:18">
      <c r="A36" s="3">
        <v>34</v>
      </c>
      <c r="B36" s="3" t="s">
        <v>58</v>
      </c>
      <c r="C36">
        <v>1</v>
      </c>
      <c r="D36" s="3"/>
      <c r="E36" s="3"/>
      <c r="F36" s="10">
        <v>57</v>
      </c>
      <c r="G36" s="15">
        <v>2524629</v>
      </c>
      <c r="H36" s="16">
        <f t="shared" si="0"/>
        <v>2.25775747644505e-5</v>
      </c>
      <c r="I36" s="11"/>
      <c r="J36" s="11"/>
      <c r="K36" s="17"/>
      <c r="L36" s="15"/>
      <c r="M36" s="15"/>
      <c r="N36" s="15" t="str">
        <f t="shared" si="1"/>
        <v/>
      </c>
      <c r="O36" s="3"/>
      <c r="P36" s="3" t="str">
        <f t="shared" si="2"/>
        <v/>
      </c>
      <c r="Q36" s="3"/>
      <c r="R36" s="3"/>
    </row>
    <row r="37" spans="1:18">
      <c r="A37" s="3">
        <v>35</v>
      </c>
      <c r="B37" s="3" t="s">
        <v>59</v>
      </c>
      <c r="C37">
        <v>1</v>
      </c>
      <c r="D37" s="3"/>
      <c r="E37" s="3"/>
      <c r="F37" s="10">
        <v>1</v>
      </c>
      <c r="G37" s="15">
        <v>194294</v>
      </c>
      <c r="H37" s="16">
        <f t="shared" si="0"/>
        <v>5.14683932596992e-6</v>
      </c>
      <c r="I37" s="11"/>
      <c r="J37" s="11"/>
      <c r="K37" s="17"/>
      <c r="L37" s="15"/>
      <c r="M37" s="15"/>
      <c r="N37" s="15" t="str">
        <f t="shared" si="1"/>
        <v/>
      </c>
      <c r="O37" s="3"/>
      <c r="P37" s="3" t="str">
        <f t="shared" si="2"/>
        <v/>
      </c>
      <c r="Q37" s="3"/>
      <c r="R37" s="3"/>
    </row>
    <row r="38" spans="1:18">
      <c r="A38" s="3">
        <v>36</v>
      </c>
      <c r="B38" s="3" t="s">
        <v>60</v>
      </c>
      <c r="C38">
        <v>1</v>
      </c>
      <c r="D38" s="3"/>
      <c r="E38" s="3"/>
      <c r="F38" s="10">
        <v>180</v>
      </c>
      <c r="G38" s="15">
        <v>1995308</v>
      </c>
      <c r="H38" s="16">
        <f t="shared" si="0"/>
        <v>9.02116364992272e-5</v>
      </c>
      <c r="I38" s="11"/>
      <c r="J38" s="11"/>
      <c r="K38" s="17"/>
      <c r="L38" s="15"/>
      <c r="M38" s="15"/>
      <c r="N38" s="15" t="str">
        <f t="shared" si="1"/>
        <v/>
      </c>
      <c r="O38" s="3"/>
      <c r="P38" s="3" t="str">
        <f t="shared" si="2"/>
        <v/>
      </c>
      <c r="Q38" s="3"/>
      <c r="R38" s="3"/>
    </row>
    <row r="39" spans="1:18">
      <c r="A39" s="3">
        <v>37</v>
      </c>
      <c r="B39" s="3" t="s">
        <v>61</v>
      </c>
      <c r="C39">
        <v>1</v>
      </c>
      <c r="D39" s="3"/>
      <c r="E39" s="3"/>
      <c r="F39" s="10">
        <v>39945</v>
      </c>
      <c r="G39" s="15">
        <v>4106269</v>
      </c>
      <c r="H39" s="16">
        <f t="shared" si="0"/>
        <v>0.00972780886980371</v>
      </c>
      <c r="I39" s="11"/>
      <c r="J39" s="11"/>
      <c r="K39" s="17"/>
      <c r="L39" s="15"/>
      <c r="M39" s="15"/>
      <c r="N39" s="15" t="str">
        <f t="shared" si="1"/>
        <v/>
      </c>
      <c r="O39" s="3"/>
      <c r="P39" s="3" t="str">
        <f t="shared" si="2"/>
        <v/>
      </c>
      <c r="Q39" s="3"/>
      <c r="R39" s="3"/>
    </row>
    <row r="40" spans="1:18">
      <c r="A40" s="3">
        <v>38</v>
      </c>
      <c r="B40" s="3" t="s">
        <v>62</v>
      </c>
      <c r="C40">
        <v>1</v>
      </c>
      <c r="D40" s="3"/>
      <c r="E40" s="3"/>
      <c r="F40" s="10">
        <v>2606</v>
      </c>
      <c r="G40" s="15">
        <v>103463</v>
      </c>
      <c r="H40" s="16">
        <f t="shared" si="0"/>
        <v>0.0251877482771619</v>
      </c>
      <c r="I40" s="11"/>
      <c r="J40" s="11"/>
      <c r="K40" s="17"/>
      <c r="L40" s="15"/>
      <c r="M40" s="15"/>
      <c r="N40" s="15" t="str">
        <f t="shared" si="1"/>
        <v/>
      </c>
      <c r="O40" s="3"/>
      <c r="P40" s="3" t="str">
        <f t="shared" si="2"/>
        <v/>
      </c>
      <c r="Q40" s="3"/>
      <c r="R40" s="3"/>
    </row>
    <row r="41" s="2" customFormat="1" spans="1:18">
      <c r="A41" s="20">
        <v>39</v>
      </c>
      <c r="B41" s="20" t="s">
        <v>63</v>
      </c>
      <c r="C41" s="24"/>
      <c r="D41" s="25"/>
      <c r="E41" s="25"/>
      <c r="F41" s="21"/>
      <c r="G41" s="20"/>
      <c r="H41" s="22" t="str">
        <f t="shared" si="0"/>
        <v/>
      </c>
      <c r="I41" s="20"/>
      <c r="J41" s="20"/>
      <c r="K41" s="23"/>
      <c r="L41" s="20"/>
      <c r="M41" s="20"/>
      <c r="N41" s="20" t="str">
        <f t="shared" si="1"/>
        <v/>
      </c>
      <c r="O41" s="20"/>
      <c r="P41" s="20"/>
      <c r="Q41" s="20"/>
      <c r="R41" s="20"/>
    </row>
    <row r="42" s="2" customFormat="1" spans="1:18">
      <c r="A42" s="20">
        <v>40</v>
      </c>
      <c r="B42" s="20" t="s">
        <v>64</v>
      </c>
      <c r="C42" s="24"/>
      <c r="D42" s="25"/>
      <c r="E42" s="25"/>
      <c r="F42" s="21"/>
      <c r="G42" s="20"/>
      <c r="H42" s="22" t="str">
        <f t="shared" si="0"/>
        <v/>
      </c>
      <c r="I42" s="20"/>
      <c r="J42" s="20"/>
      <c r="K42" s="23"/>
      <c r="L42" s="20"/>
      <c r="M42" s="20"/>
      <c r="N42" s="20" t="str">
        <f t="shared" si="1"/>
        <v/>
      </c>
      <c r="O42" s="20"/>
      <c r="P42" s="20"/>
      <c r="Q42" s="20"/>
      <c r="R42" s="20"/>
    </row>
    <row r="43" spans="1:18">
      <c r="N43" s="15" t="str">
        <f t="shared" si="1"/>
        <v/>
      </c>
      <c r="O43" s="3"/>
    </row>
    <row r="44" spans="1:18">
      <c r="N44" s="15" t="str">
        <f t="shared" si="1"/>
        <v/>
      </c>
      <c r="O44" s="3"/>
    </row>
    <row r="45" spans="1:18">
      <c r="N45" s="15" t="str">
        <f t="shared" si="1"/>
        <v/>
      </c>
      <c r="O45" s="3"/>
    </row>
    <row r="46" spans="1:18">
      <c r="N46" s="15" t="str">
        <f t="shared" si="1"/>
        <v/>
      </c>
      <c r="O46" s="3"/>
    </row>
    <row r="47" spans="1:18">
      <c r="N47" s="15" t="str">
        <f t="shared" si="1"/>
        <v/>
      </c>
      <c r="O47" s="3"/>
    </row>
  </sheetData>
  <mergeCells count="8">
    <mergeCell ref="F1:H1"/>
    <mergeCell ref="I1:K1"/>
    <mergeCell ref="L1:N1"/>
    <mergeCell ref="A1:A2"/>
    <mergeCell ref="B1:B2"/>
    <mergeCell ref="C1:C2"/>
    <mergeCell ref="D1:D2"/>
    <mergeCell ref="E1:E2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skewness&gt;0.9 </vt:lpstr>
      <vt:lpstr>skewness0.9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张瑞鹏</cp:lastModifiedBy>
  <dcterms:created xsi:type="dcterms:W3CDTF">2026-08-04T06:12:00Z</dcterms:created>
  <dcterms:modified xsi:type="dcterms:W3CDTF">2026-09-29T11:49:30Z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EBE434BEA2C346E796925112158B7953_13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